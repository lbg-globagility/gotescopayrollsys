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65" windowWidth="20730" windowHeight="8955" activeTab="6"/>
  </bookViews>
  <sheets>
    <sheet name="SSS LOAN" sheetId="1" r:id="rId1"/>
    <sheet name="MPL LOAN" sheetId="2" r:id="rId2"/>
    <sheet name="CASH ADVANCE" sheetId="3" r:id="rId3"/>
    <sheet name="14TH MONTH" sheetId="4" r:id="rId4"/>
    <sheet name="SLVLSIL" sheetId="5" r:id="rId5"/>
    <sheet name="TIME ENTRY" sheetId="6" r:id="rId6"/>
    <sheet name="OVERTIME" sheetId="7" r:id="rId7"/>
    <sheet name="salary and allowances" sheetId="8" r:id="rId8"/>
    <sheet name="PROVIDENT DEDUCTIONS" sheetId="9" r:id="rId9"/>
    <sheet name="Sheet3" sheetId="10" r:id="rId10"/>
  </sheets>
  <definedNames>
    <definedName name="_xlnm.Print_Area" localSheetId="3">'14TH MONTH'!$B$2:$N$22</definedName>
    <definedName name="_xlnm.Print_Area" localSheetId="2">'CASH ADVANCE'!$G$5:$U$11</definedName>
    <definedName name="_xlnm.Print_Area" localSheetId="1">'MPL LOAN'!$B$6:$V$38</definedName>
    <definedName name="_xlnm.Print_Area" localSheetId="6">OVERTIME!$B$32:$M$52</definedName>
    <definedName name="_xlnm.Print_Area" localSheetId="8">'PROVIDENT DEDUCTIONS'!$B$3:$E$22</definedName>
    <definedName name="_xlnm.Print_Area" localSheetId="7">'salary and allowances'!$C$40:$K$54</definedName>
    <definedName name="_xlnm.Print_Area" localSheetId="4">SLVLSIL!$B$4:$K$45</definedName>
    <definedName name="_xlnm.Print_Area" localSheetId="0">'SSS LOAN'!$B$1:$N$20</definedName>
    <definedName name="_xlnm.Print_Area" localSheetId="5">'TIME ENTRY'!$B$39:$E$72</definedName>
    <definedName name="_xlnm.Print_Titles" localSheetId="2">'CASH ADVANCE'!$B:$E,'CASH ADVANCE'!$2:$4</definedName>
    <definedName name="_xlnm.Print_Titles" localSheetId="1">'MPL LOAN'!$A:$D,'MPL LOAN'!$3:$5</definedName>
  </definedNames>
  <calcPr calcId="145621"/>
</workbook>
</file>

<file path=xl/calcChain.xml><?xml version="1.0" encoding="utf-8"?>
<calcChain xmlns="http://schemas.openxmlformats.org/spreadsheetml/2006/main">
  <c r="J53" i="8" l="1"/>
  <c r="J51" i="8"/>
  <c r="J44" i="8"/>
  <c r="J42" i="8"/>
  <c r="M47" i="7"/>
  <c r="M52" i="7" s="1"/>
  <c r="F47" i="7"/>
  <c r="E47" i="7"/>
  <c r="M20" i="7"/>
  <c r="L20" i="7"/>
  <c r="F72" i="7" l="1"/>
  <c r="F77" i="7" s="1"/>
  <c r="F24" i="7"/>
  <c r="I10" i="5" l="1"/>
  <c r="I8" i="5"/>
  <c r="I39" i="5" l="1"/>
  <c r="I41" i="5"/>
  <c r="I37" i="5"/>
  <c r="I30" i="5"/>
  <c r="I28" i="5"/>
  <c r="I24" i="5"/>
  <c r="I22" i="5"/>
  <c r="I16" i="5"/>
  <c r="I14" i="5"/>
  <c r="N21" i="4"/>
  <c r="N19" i="4"/>
  <c r="N14" i="4"/>
  <c r="N12" i="4"/>
  <c r="N10" i="4"/>
  <c r="N8" i="4"/>
  <c r="N6" i="4"/>
  <c r="T10" i="3" l="1"/>
  <c r="U5" i="3"/>
  <c r="T5" i="3"/>
  <c r="L48" i="2"/>
  <c r="K48" i="2"/>
  <c r="O35" i="2"/>
  <c r="K35" i="2"/>
  <c r="L35" i="2" s="1"/>
  <c r="K16" i="2"/>
  <c r="L16" i="2" s="1"/>
  <c r="O32" i="2"/>
  <c r="K32" i="2"/>
  <c r="L32" i="2" s="1"/>
  <c r="P26" i="2"/>
  <c r="S26" i="2" s="1"/>
  <c r="K26" i="2"/>
  <c r="L26" i="2" s="1"/>
  <c r="K13" i="2"/>
  <c r="L13" i="2" s="1"/>
  <c r="L23" i="2"/>
  <c r="O23" i="2"/>
  <c r="K6" i="2"/>
  <c r="L6" i="2" s="1"/>
  <c r="O48" i="2"/>
  <c r="P48" i="2" s="1"/>
  <c r="S48" i="2" s="1"/>
  <c r="S42" i="2"/>
  <c r="J19" i="1"/>
  <c r="K19" i="1" s="1"/>
  <c r="N19" i="1" s="1"/>
  <c r="J17" i="1"/>
  <c r="K17" i="1" s="1"/>
  <c r="N17" i="1" s="1"/>
  <c r="J10" i="1"/>
  <c r="K10" i="1" s="1"/>
  <c r="N10" i="1" s="1"/>
  <c r="K8" i="1"/>
  <c r="N8" i="1" s="1"/>
  <c r="K4" i="1"/>
  <c r="N4" i="1" s="1"/>
  <c r="J8" i="1"/>
  <c r="J6" i="1"/>
  <c r="K6" i="1" s="1"/>
  <c r="N6" i="1" s="1"/>
  <c r="J4" i="1"/>
  <c r="P35" i="2" l="1"/>
  <c r="S35" i="2"/>
  <c r="S13" i="2"/>
  <c r="P6" i="2"/>
  <c r="S6" i="2" s="1"/>
  <c r="S16" i="2"/>
  <c r="P23" i="2"/>
  <c r="S32" i="2"/>
  <c r="P32" i="2"/>
  <c r="P13" i="2"/>
</calcChain>
</file>

<file path=xl/sharedStrings.xml><?xml version="1.0" encoding="utf-8"?>
<sst xmlns="http://schemas.openxmlformats.org/spreadsheetml/2006/main" count="666" uniqueCount="153">
  <si>
    <t>SSS LOAN</t>
  </si>
  <si>
    <t>MERANO LARRY</t>
  </si>
  <si>
    <t xml:space="preserve"> </t>
  </si>
  <si>
    <t>START</t>
  </si>
  <si>
    <t>AMT PAID</t>
  </si>
  <si>
    <t>AMORT</t>
  </si>
  <si>
    <t>MOS</t>
  </si>
  <si>
    <t>BALANCE</t>
  </si>
  <si>
    <t>YADAO, ANTONIO</t>
  </si>
  <si>
    <t>OVERPAYMENT</t>
  </si>
  <si>
    <t>AS PERSSS</t>
  </si>
  <si>
    <t>CASIPLE, CHRISTOPHER</t>
  </si>
  <si>
    <t>TUPAZ, ROMMEL</t>
  </si>
  <si>
    <t>AS OF MARCH 31 2017</t>
  </si>
  <si>
    <t>AS OF MARCH  31,2017</t>
  </si>
  <si>
    <t>AS OF MARCH 31, 2017</t>
  </si>
  <si>
    <t>MONTHLY</t>
  </si>
  <si>
    <t>DAILY</t>
  </si>
  <si>
    <t>DELA TORRE, NIKKO</t>
  </si>
  <si>
    <t>NO SSS LOAN</t>
  </si>
  <si>
    <t>CASAÑA, ARCIE</t>
  </si>
  <si>
    <t>TOTAL</t>
  </si>
  <si>
    <t>PAID</t>
  </si>
  <si>
    <t xml:space="preserve">TOTAL </t>
  </si>
  <si>
    <t>AS PER SSS</t>
  </si>
  <si>
    <t>FEROLINO, WILFREDO</t>
  </si>
  <si>
    <t>Z13942</t>
  </si>
  <si>
    <t>Z13748</t>
  </si>
  <si>
    <t>Z13713</t>
  </si>
  <si>
    <t>MPL LOAN</t>
  </si>
  <si>
    <t>STOP PAYMENT</t>
  </si>
  <si>
    <t>RELOAN</t>
  </si>
  <si>
    <t>APRIL 01,2017</t>
  </si>
  <si>
    <t>AS OF MARCH 31, 2016</t>
  </si>
  <si>
    <t>TOTAL PAID</t>
  </si>
  <si>
    <t>AMORTIZATION 1</t>
  </si>
  <si>
    <t>AMORTIZATION 2</t>
  </si>
  <si>
    <t>N/A</t>
  </si>
  <si>
    <t>AS PF 3/31/2016</t>
  </si>
  <si>
    <t>STARTING DATE OF DEDUCTION</t>
  </si>
  <si>
    <t>AS OF FEBRUARY 2017</t>
  </si>
  <si>
    <t>NO PAYMENT FEBRUARY 2017</t>
  </si>
  <si>
    <t>NEW LOAN</t>
  </si>
  <si>
    <t>AS OF MAY 31, 2016</t>
  </si>
  <si>
    <t>NO MPL LOAN</t>
  </si>
  <si>
    <t>CASH ADVANCES</t>
  </si>
  <si>
    <t>DATE</t>
  </si>
  <si>
    <t>0064478</t>
  </si>
  <si>
    <t>NUMBER</t>
  </si>
  <si>
    <t>PAYMENT 1 AMOUNT</t>
  </si>
  <si>
    <t>PAYMENT 2 AMOUNT</t>
  </si>
  <si>
    <t>PAYMENT 3 AMOUNT</t>
  </si>
  <si>
    <t>PAYMENT 4 AMOUNT</t>
  </si>
  <si>
    <t>VOUCHER</t>
  </si>
  <si>
    <t>DATE OF PAYMENT 1</t>
  </si>
  <si>
    <t>0064356</t>
  </si>
  <si>
    <t>AMOUNT</t>
  </si>
  <si>
    <t>REASON</t>
  </si>
  <si>
    <t>MEDICAL SUPPORT FOR</t>
  </si>
  <si>
    <t>MY FATHER</t>
  </si>
  <si>
    <t>CHILD HOSPITALIZATION</t>
  </si>
  <si>
    <t>PAYMENT SCHEME</t>
  </si>
  <si>
    <t>DEDUCT TO 14TH MONTH</t>
  </si>
  <si>
    <t>DATE OF PAYMENT 2</t>
  </si>
  <si>
    <t>DATE OF PAYMENT 3</t>
  </si>
  <si>
    <t>DATE OF PAYMENT 4</t>
  </si>
  <si>
    <t>1/31-2/14</t>
  </si>
  <si>
    <t>1/14-1/30</t>
  </si>
  <si>
    <t>5/13-5/27</t>
  </si>
  <si>
    <t>2/15-2/27</t>
  </si>
  <si>
    <t>2/28-3/12</t>
  </si>
  <si>
    <t>3/13-3/27</t>
  </si>
  <si>
    <t>3/28-4/12</t>
  </si>
  <si>
    <t>DATE OF PAYMENT 5</t>
  </si>
  <si>
    <t>PAYMENT 5</t>
  </si>
  <si>
    <t>4/13-4/27</t>
  </si>
  <si>
    <t>14TH MONTH PAY</t>
  </si>
  <si>
    <t xml:space="preserve">  </t>
  </si>
  <si>
    <t>DATE HIRED</t>
  </si>
  <si>
    <t>TOTAL SICK LEAVE HOURS</t>
  </si>
  <si>
    <t>TOTAL SIL</t>
  </si>
  <si>
    <t>TOTAL VACATION LEAVE HOURS</t>
  </si>
  <si>
    <t xml:space="preserve">DATE REFULARIZED </t>
  </si>
  <si>
    <t>JANUARY 20 &amp; 21, 2017</t>
  </si>
  <si>
    <t>MAY 03, 04,05,2017</t>
  </si>
  <si>
    <t>BALANCE AS OF MARCH 31, 2017</t>
  </si>
  <si>
    <t>MARCH 08 AND MARCH 09, 2017</t>
  </si>
  <si>
    <t>MARCH 20 AND 21, 2017</t>
  </si>
  <si>
    <t>5 DAYS = 40 HRS</t>
  </si>
  <si>
    <t xml:space="preserve">DATE REGULARIZED </t>
  </si>
  <si>
    <t>FOR ENTRY</t>
  </si>
  <si>
    <t>ARCIE CASANA</t>
  </si>
  <si>
    <t>AM</t>
  </si>
  <si>
    <t>PM</t>
  </si>
  <si>
    <t>FEROLINO, WILFREDO BALLAR</t>
  </si>
  <si>
    <t>MORNING</t>
  </si>
  <si>
    <t>ROMMEL TUPAZ</t>
  </si>
  <si>
    <t>LARRY  MERANO</t>
  </si>
  <si>
    <t>ANTONIO YADAO JR</t>
  </si>
  <si>
    <t>CHRISTOPHER CASIPLE</t>
  </si>
  <si>
    <t>NIKKO DELA TORRE</t>
  </si>
  <si>
    <t>TIME ENTRY</t>
  </si>
  <si>
    <t>OVERTIME FILED</t>
  </si>
  <si>
    <t>TIME SHIFT</t>
  </si>
  <si>
    <t>8:30 TO 5:30</t>
  </si>
  <si>
    <t xml:space="preserve">NO. OF </t>
  </si>
  <si>
    <t>OT HRS</t>
  </si>
  <si>
    <t>AT 125%</t>
  </si>
  <si>
    <t xml:space="preserve">SUB </t>
  </si>
  <si>
    <t>SUB</t>
  </si>
  <si>
    <t>GRAND TOTAL</t>
  </si>
  <si>
    <t>OT HOURS</t>
  </si>
  <si>
    <t>ROUND OFF</t>
  </si>
  <si>
    <t>OVER</t>
  </si>
  <si>
    <t>FOR APRIL 12, 2017</t>
  </si>
  <si>
    <t>PAYMENT OF PAYROLL</t>
  </si>
  <si>
    <t>FOR APRIL 27, 2017</t>
  </si>
  <si>
    <t>M-SAT</t>
  </si>
  <si>
    <t>9:00 TO 6:00</t>
  </si>
  <si>
    <t>M-F</t>
  </si>
  <si>
    <t>FOR APRIL 12, 2017 PAYMENT</t>
  </si>
  <si>
    <t>FOR APRIL 27, 2017 PAYMENT</t>
  </si>
  <si>
    <t>8:00 am to 5:00 pm</t>
  </si>
  <si>
    <t>MONDAY TO SATURDAY</t>
  </si>
  <si>
    <t>AVAILMENT</t>
  </si>
  <si>
    <t>SL/VL</t>
  </si>
  <si>
    <t>SIL</t>
  </si>
  <si>
    <t>8:00 am to 5:00 Pm</t>
  </si>
  <si>
    <t>8:30 AM TO 5:30 PM</t>
  </si>
  <si>
    <t>9:00 AM TO 6:00 PM</t>
  </si>
  <si>
    <t>MONDAY TO FRIDAY</t>
  </si>
  <si>
    <t>BASIC</t>
  </si>
  <si>
    <t>COLA</t>
  </si>
  <si>
    <t>COMPANY</t>
  </si>
  <si>
    <t>ALLOW</t>
  </si>
  <si>
    <t>ACTUAL BASIC</t>
  </si>
  <si>
    <t>ACTUAL ALLOW</t>
  </si>
  <si>
    <t>DECLARED BASIC</t>
  </si>
  <si>
    <t>DECLARED COLA</t>
  </si>
  <si>
    <t xml:space="preserve">AT 313 DAYS </t>
  </si>
  <si>
    <t>DECLARED</t>
  </si>
  <si>
    <t>AT 365 DAYS</t>
  </si>
  <si>
    <t>MINIMUM</t>
  </si>
  <si>
    <t xml:space="preserve"> TOTAL</t>
  </si>
  <si>
    <t>SALARY</t>
  </si>
  <si>
    <t>FOR SSS NHIP PAGIBIG AND BIR PURPOSES(GOVERNMENT COMPLIANCE)</t>
  </si>
  <si>
    <t>FOR SSS NHIP PAG IBIG BIR PURPOSES(GOVERNMENT COMPLIANCE)</t>
  </si>
  <si>
    <t>DEPENDENT</t>
  </si>
  <si>
    <t>12546.08+260.83</t>
  </si>
  <si>
    <t>14630.42+304.17</t>
  </si>
  <si>
    <t>PROVIDENT DEDUCTIONS</t>
  </si>
  <si>
    <t>APRIL 27, 2017 PAYROLL</t>
  </si>
  <si>
    <t>APRIL 12, 2017 PAYROLL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</si>
</sst>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2">
    <xf numFmtId="0" fontId="0" fillId="0" borderId="0" xfId="0"/>
    <xf numFmtId="43" fontId="0" fillId="0" borderId="0" xfId="1" applyFont="1"/>
    <xf numFmtId="0" fontId="2" fillId="0" borderId="0" xfId="0" applyFont="1"/>
    <xf numFmtId="0" fontId="0" fillId="0" borderId="1" xfId="0" applyBorder="1"/>
    <xf numFmtId="0" fontId="4" fillId="0" borderId="1" xfId="0" applyFont="1" applyBorder="1"/>
    <xf numFmtId="0" fontId="0" fillId="0" borderId="1" xfId="0" applyBorder="1" applyAlignment="1">
      <alignment wrapText="1"/>
    </xf>
    <xf numFmtId="15" fontId="0" fillId="0" borderId="1" xfId="0" applyNumberFormat="1" applyBorder="1"/>
    <xf numFmtId="0" fontId="0" fillId="0" borderId="1" xfId="0" quotePrefix="1" applyBorder="1"/>
    <xf numFmtId="43" fontId="0" fillId="0" borderId="1" xfId="1" quotePrefix="1" applyFont="1" applyBorder="1"/>
    <xf numFmtId="43" fontId="0" fillId="0" borderId="1" xfId="1" applyFont="1" applyBorder="1"/>
    <xf numFmtId="43" fontId="0" fillId="0" borderId="1" xfId="0" applyNumberFormat="1" applyBorder="1"/>
    <xf numFmtId="0" fontId="0" fillId="7" borderId="1" xfId="0" applyFill="1" applyBorder="1"/>
    <xf numFmtId="43" fontId="0" fillId="7" borderId="1" xfId="1" applyFont="1" applyFill="1" applyBorder="1"/>
    <xf numFmtId="0" fontId="0" fillId="12" borderId="0" xfId="0" applyFill="1"/>
    <xf numFmtId="0" fontId="0" fillId="12" borderId="1" xfId="0" applyFill="1" applyBorder="1"/>
    <xf numFmtId="0" fontId="0" fillId="2" borderId="1" xfId="0" applyFill="1" applyBorder="1"/>
    <xf numFmtId="0" fontId="2" fillId="2" borderId="1" xfId="0" applyFont="1" applyFill="1" applyBorder="1"/>
    <xf numFmtId="16" fontId="2" fillId="2" borderId="1" xfId="0" applyNumberFormat="1" applyFont="1" applyFill="1" applyBorder="1"/>
    <xf numFmtId="16" fontId="0" fillId="2" borderId="1" xfId="0" applyNumberFormat="1" applyFill="1" applyBorder="1"/>
    <xf numFmtId="2" fontId="0" fillId="7" borderId="1" xfId="0" applyNumberFormat="1" applyFill="1" applyBorder="1"/>
    <xf numFmtId="2" fontId="6" fillId="11" borderId="1" xfId="1" applyNumberFormat="1" applyFont="1" applyFill="1" applyBorder="1"/>
    <xf numFmtId="2" fontId="0" fillId="0" borderId="1" xfId="0" applyNumberFormat="1" applyBorder="1"/>
    <xf numFmtId="43" fontId="0" fillId="12" borderId="1" xfId="1" applyFont="1" applyFill="1" applyBorder="1"/>
    <xf numFmtId="2" fontId="0" fillId="12" borderId="1" xfId="0" applyNumberFormat="1" applyFill="1" applyBorder="1"/>
    <xf numFmtId="43" fontId="0" fillId="2" borderId="1" xfId="1" applyFont="1" applyFill="1" applyBorder="1"/>
    <xf numFmtId="0" fontId="0" fillId="9" borderId="1" xfId="0" applyFill="1" applyBorder="1"/>
    <xf numFmtId="0" fontId="0" fillId="0" borderId="1" xfId="0" applyFill="1" applyBorder="1"/>
    <xf numFmtId="15" fontId="0" fillId="9" borderId="1" xfId="0" applyNumberFormat="1" applyFill="1" applyBorder="1"/>
    <xf numFmtId="2" fontId="0" fillId="9" borderId="1" xfId="0" applyNumberFormat="1" applyFill="1" applyBorder="1"/>
    <xf numFmtId="2" fontId="0" fillId="10" borderId="1" xfId="0" applyNumberFormat="1" applyFill="1" applyBorder="1"/>
    <xf numFmtId="43" fontId="2" fillId="2" borderId="1" xfId="1" applyFont="1" applyFill="1" applyBorder="1"/>
    <xf numFmtId="0" fontId="0" fillId="3" borderId="1" xfId="0" applyFill="1" applyBorder="1"/>
    <xf numFmtId="0" fontId="5" fillId="3" borderId="1" xfId="0" applyFont="1" applyFill="1" applyBorder="1"/>
    <xf numFmtId="15" fontId="0" fillId="7" borderId="1" xfId="0" applyNumberFormat="1" applyFill="1" applyBorder="1"/>
    <xf numFmtId="14" fontId="0" fillId="7" borderId="1" xfId="0" applyNumberFormat="1" applyFill="1" applyBorder="1"/>
    <xf numFmtId="0" fontId="3" fillId="9" borderId="1" xfId="0" applyFont="1" applyFill="1" applyBorder="1"/>
    <xf numFmtId="14" fontId="7" fillId="9" borderId="1" xfId="0" applyNumberFormat="1" applyFont="1" applyFill="1" applyBorder="1"/>
    <xf numFmtId="16" fontId="7" fillId="9" borderId="1" xfId="0" applyNumberFormat="1" applyFont="1" applyFill="1" applyBorder="1"/>
    <xf numFmtId="16" fontId="3" fillId="9" borderId="1" xfId="0" applyNumberFormat="1" applyFont="1" applyFill="1" applyBorder="1"/>
    <xf numFmtId="16" fontId="7" fillId="0" borderId="1" xfId="0" applyNumberFormat="1" applyFont="1" applyFill="1" applyBorder="1"/>
    <xf numFmtId="0" fontId="9" fillId="0" borderId="1" xfId="0" applyFont="1" applyBorder="1"/>
    <xf numFmtId="2" fontId="7" fillId="0" borderId="1" xfId="0" applyNumberFormat="1" applyFont="1" applyBorder="1"/>
    <xf numFmtId="0" fontId="7" fillId="0" borderId="1" xfId="0" applyFont="1" applyFill="1" applyBorder="1"/>
    <xf numFmtId="14" fontId="0" fillId="2" borderId="1" xfId="0" quotePrefix="1" applyNumberFormat="1" applyFill="1" applyBorder="1"/>
    <xf numFmtId="14" fontId="0" fillId="0" borderId="1" xfId="0" applyNumberFormat="1" applyBorder="1"/>
    <xf numFmtId="0" fontId="2" fillId="0" borderId="1" xfId="0" applyFont="1" applyBorder="1"/>
    <xf numFmtId="17" fontId="0" fillId="0" borderId="1" xfId="0" applyNumberFormat="1" applyBorder="1"/>
    <xf numFmtId="0" fontId="0" fillId="4" borderId="1" xfId="0" applyFill="1" applyBorder="1"/>
    <xf numFmtId="43" fontId="0" fillId="0" borderId="1" xfId="1" applyFont="1" applyFill="1" applyBorder="1"/>
    <xf numFmtId="17" fontId="0" fillId="0" borderId="1" xfId="1" applyNumberFormat="1" applyFont="1" applyBorder="1"/>
    <xf numFmtId="43" fontId="0" fillId="5" borderId="1" xfId="0" applyNumberFormat="1" applyFill="1" applyBorder="1"/>
    <xf numFmtId="0" fontId="0" fillId="5" borderId="1" xfId="0" applyFill="1" applyBorder="1"/>
    <xf numFmtId="0" fontId="0" fillId="8" borderId="1" xfId="0" applyFill="1" applyBorder="1"/>
    <xf numFmtId="17" fontId="0" fillId="8" borderId="1" xfId="0" applyNumberFormat="1" applyFill="1" applyBorder="1"/>
    <xf numFmtId="43" fontId="0" fillId="8" borderId="1" xfId="1" applyFont="1" applyFill="1" applyBorder="1"/>
    <xf numFmtId="17" fontId="0" fillId="8" borderId="1" xfId="1" applyNumberFormat="1" applyFont="1" applyFill="1" applyBorder="1"/>
    <xf numFmtId="0" fontId="0" fillId="6" borderId="1" xfId="0" applyFill="1" applyBorder="1"/>
    <xf numFmtId="43" fontId="0" fillId="0" borderId="1" xfId="0" applyNumberFormat="1" applyFill="1" applyBorder="1"/>
    <xf numFmtId="17" fontId="0" fillId="0" borderId="1" xfId="0" applyNumberFormat="1" applyFill="1" applyBorder="1"/>
    <xf numFmtId="17" fontId="0" fillId="3" borderId="1" xfId="1" applyNumberFormat="1" applyFont="1" applyFill="1" applyBorder="1"/>
    <xf numFmtId="0" fontId="3" fillId="0" borderId="1" xfId="0" applyFont="1" applyBorder="1"/>
    <xf numFmtId="43" fontId="0" fillId="4" borderId="1" xfId="1" applyFont="1" applyFill="1" applyBorder="1"/>
    <xf numFmtId="43" fontId="0" fillId="8" borderId="1" xfId="0" applyNumberFormat="1" applyFill="1" applyBorder="1"/>
    <xf numFmtId="0" fontId="0" fillId="0" borderId="1" xfId="0" applyFill="1" applyBorder="1" applyAlignment="1">
      <alignment horizontal="center"/>
    </xf>
    <xf numFmtId="17" fontId="0" fillId="0" borderId="1" xfId="1" applyNumberFormat="1" applyFont="1" applyFill="1" applyBorder="1"/>
    <xf numFmtId="0" fontId="8" fillId="2" borderId="1" xfId="0" applyFont="1" applyFill="1" applyBorder="1"/>
    <xf numFmtId="17" fontId="8" fillId="0" borderId="1" xfId="0" applyNumberFormat="1" applyFont="1" applyBorder="1"/>
    <xf numFmtId="0" fontId="8" fillId="0" borderId="1" xfId="0" applyFont="1" applyBorder="1"/>
    <xf numFmtId="0" fontId="8" fillId="0" borderId="1" xfId="0" applyFont="1" applyFill="1" applyBorder="1"/>
    <xf numFmtId="17" fontId="8" fillId="8" borderId="1" xfId="0" applyNumberFormat="1" applyFont="1" applyFill="1" applyBorder="1"/>
    <xf numFmtId="17" fontId="8" fillId="0" borderId="1" xfId="0" applyNumberFormat="1" applyFont="1" applyFill="1" applyBorder="1"/>
    <xf numFmtId="0" fontId="8" fillId="0" borderId="0" xfId="0" applyFont="1"/>
    <xf numFmtId="15" fontId="0" fillId="2" borderId="1" xfId="0" applyNumberFormat="1" applyFill="1" applyBorder="1"/>
    <xf numFmtId="14" fontId="0" fillId="2" borderId="1" xfId="1" applyNumberFormat="1" applyFont="1" applyFill="1" applyBorder="1"/>
    <xf numFmtId="20" fontId="0" fillId="0" borderId="0" xfId="0" applyNumberFormat="1"/>
    <xf numFmtId="0" fontId="0" fillId="7" borderId="0" xfId="0" applyFill="1"/>
    <xf numFmtId="0" fontId="10" fillId="0" borderId="1" xfId="0" applyFont="1" applyBorder="1"/>
    <xf numFmtId="20" fontId="0" fillId="0" borderId="1" xfId="0" applyNumberFormat="1" applyBorder="1"/>
    <xf numFmtId="0" fontId="11" fillId="0" borderId="1" xfId="0" applyFont="1" applyBorder="1"/>
    <xf numFmtId="0" fontId="11" fillId="0" borderId="0" xfId="0" applyFont="1"/>
    <xf numFmtId="15" fontId="11" fillId="0" borderId="1" xfId="0" applyNumberFormat="1" applyFont="1" applyBorder="1"/>
    <xf numFmtId="20" fontId="11" fillId="0" borderId="1" xfId="0" applyNumberFormat="1" applyFont="1" applyBorder="1"/>
    <xf numFmtId="0" fontId="0" fillId="0" borderId="2" xfId="0" applyBorder="1"/>
    <xf numFmtId="0" fontId="13" fillId="0" borderId="1" xfId="0" applyFont="1" applyBorder="1" applyAlignment="1">
      <alignment horizontal="right"/>
    </xf>
    <xf numFmtId="0" fontId="12" fillId="0" borderId="1" xfId="0" applyFont="1" applyBorder="1"/>
    <xf numFmtId="0" fontId="14" fillId="0" borderId="1" xfId="0" applyFont="1" applyBorder="1"/>
    <xf numFmtId="0" fontId="12" fillId="3" borderId="1" xfId="0" applyFont="1" applyFill="1" applyBorder="1"/>
    <xf numFmtId="0" fontId="15" fillId="0" borderId="1" xfId="0" applyFont="1" applyBorder="1"/>
    <xf numFmtId="0" fontId="16" fillId="0" borderId="1" xfId="0" applyFont="1" applyBorder="1" applyAlignment="1">
      <alignment wrapText="1"/>
    </xf>
    <xf numFmtId="43" fontId="11" fillId="0" borderId="1" xfId="1" applyFont="1" applyBorder="1"/>
    <xf numFmtId="15" fontId="15" fillId="0" borderId="1" xfId="0" applyNumberFormat="1" applyFont="1" applyBorder="1"/>
    <xf numFmtId="20" fontId="15" fillId="0" borderId="1" xfId="0" applyNumberFormat="1" applyFont="1" applyBorder="1"/>
    <xf numFmtId="43" fontId="15" fillId="0" borderId="1" xfId="1" applyFont="1" applyBorder="1"/>
    <xf numFmtId="0" fontId="17" fillId="0" borderId="1" xfId="0" applyFont="1" applyBorder="1" applyAlignment="1">
      <alignment wrapText="1"/>
    </xf>
    <xf numFmtId="0" fontId="16" fillId="0" borderId="1" xfId="0" applyFont="1" applyBorder="1"/>
    <xf numFmtId="0" fontId="0" fillId="0" borderId="0" xfId="0" applyBorder="1"/>
    <xf numFmtId="0" fontId="11" fillId="0" borderId="0" xfId="0" applyFont="1" applyBorder="1"/>
    <xf numFmtId="0" fontId="0" fillId="0" borderId="0" xfId="0" applyBorder="1" applyAlignment="1">
      <alignment wrapText="1"/>
    </xf>
    <xf numFmtId="0" fontId="13" fillId="0" borderId="2" xfId="0" applyFont="1" applyBorder="1" applyAlignment="1">
      <alignment horizontal="right"/>
    </xf>
    <xf numFmtId="0" fontId="10" fillId="0" borderId="2" xfId="0" applyFont="1" applyBorder="1"/>
    <xf numFmtId="0" fontId="16" fillId="0" borderId="2" xfId="0" applyFont="1" applyBorder="1" applyAlignment="1">
      <alignment wrapText="1"/>
    </xf>
    <xf numFmtId="43" fontId="0" fillId="0" borderId="0" xfId="1" applyFont="1" applyBorder="1"/>
    <xf numFmtId="0" fontId="12" fillId="13" borderId="1" xfId="0" applyFont="1" applyFill="1" applyBorder="1"/>
    <xf numFmtId="0" fontId="0" fillId="13" borderId="1" xfId="0" applyFill="1" applyBorder="1"/>
    <xf numFmtId="0" fontId="15" fillId="13" borderId="1" xfId="0" applyFont="1" applyFill="1" applyBorder="1"/>
    <xf numFmtId="0" fontId="15" fillId="0" borderId="0" xfId="0" applyFont="1" applyBorder="1"/>
    <xf numFmtId="0" fontId="15" fillId="0" borderId="0" xfId="0" applyFont="1"/>
    <xf numFmtId="43" fontId="15" fillId="0" borderId="0" xfId="1" applyFont="1"/>
    <xf numFmtId="43" fontId="14" fillId="0" borderId="1" xfId="1" applyFont="1" applyBorder="1"/>
    <xf numFmtId="0" fontId="14" fillId="0" borderId="0" xfId="0" applyFont="1"/>
    <xf numFmtId="0" fontId="15" fillId="0" borderId="0" xfId="0" applyFont="1" applyFill="1" applyBorder="1"/>
    <xf numFmtId="0" fontId="0" fillId="0" borderId="0" xfId="0" applyFill="1" applyBorder="1"/>
    <xf numFmtId="0" fontId="15" fillId="13" borderId="1" xfId="0" applyFont="1" applyFill="1" applyBorder="1" applyAlignment="1">
      <alignment wrapText="1"/>
    </xf>
    <xf numFmtId="2" fontId="14" fillId="0" borderId="1" xfId="1" applyNumberFormat="1" applyFont="1" applyBorder="1"/>
    <xf numFmtId="2" fontId="14" fillId="0" borderId="1" xfId="0" applyNumberFormat="1" applyFont="1" applyBorder="1"/>
    <xf numFmtId="2" fontId="11" fillId="0" borderId="1" xfId="0" applyNumberFormat="1" applyFont="1" applyBorder="1"/>
    <xf numFmtId="0" fontId="18" fillId="11" borderId="1" xfId="0" applyFont="1" applyFill="1" applyBorder="1"/>
    <xf numFmtId="0" fontId="4" fillId="11" borderId="1" xfId="0" applyFont="1" applyFill="1" applyBorder="1"/>
    <xf numFmtId="2" fontId="4" fillId="11" borderId="1" xfId="0" applyNumberFormat="1" applyFont="1" applyFill="1" applyBorder="1"/>
    <xf numFmtId="2" fontId="12" fillId="11" borderId="1" xfId="0" applyNumberFormat="1" applyFont="1" applyFill="1" applyBorder="1"/>
    <xf numFmtId="2" fontId="18" fillId="11" borderId="1" xfId="0" applyNumberFormat="1" applyFont="1" applyFill="1" applyBorder="1"/>
    <xf numFmtId="15" fontId="12" fillId="11" borderId="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9"/>
  <sheetViews>
    <sheetView topLeftCell="A2" workbookViewId="0">
      <selection activeCell="A8" sqref="A8:XFD8"/>
    </sheetView>
  </sheetViews>
  <sheetFormatPr defaultRowHeight="15" x14ac:dyDescent="0.25"/>
  <cols>
    <col min="3" max="3" width="21" customWidth="1"/>
    <col min="4" max="4" width="2.28515625" customWidth="1"/>
    <col min="5" max="5" width="10.5703125" bestFit="1" customWidth="1"/>
    <col min="7" max="7" width="19.85546875" customWidth="1"/>
    <col min="8" max="8" width="11" customWidth="1"/>
    <col min="10" max="10" width="10.5703125" bestFit="1" customWidth="1"/>
    <col min="11" max="11" width="11.85546875" customWidth="1"/>
    <col min="14" max="14" width="13" customWidth="1"/>
  </cols>
  <sheetData>
    <row r="1" spans="2:14" ht="36" x14ac:dyDescent="0.55000000000000004">
      <c r="B1" s="3"/>
      <c r="C1" s="3"/>
      <c r="D1" s="3"/>
      <c r="E1" s="3"/>
      <c r="F1" s="3"/>
      <c r="G1" s="45" t="s">
        <v>0</v>
      </c>
      <c r="H1" s="3"/>
      <c r="I1" s="3"/>
      <c r="J1" s="3"/>
      <c r="K1" s="3"/>
      <c r="L1" s="3"/>
      <c r="M1" s="3"/>
      <c r="N1" s="3"/>
    </row>
    <row r="2" spans="2:14" x14ac:dyDescent="0.25">
      <c r="B2" s="15"/>
      <c r="C2" s="15" t="s">
        <v>17</v>
      </c>
      <c r="D2" s="15"/>
      <c r="E2" s="15"/>
      <c r="F2" s="15"/>
      <c r="G2" s="15"/>
      <c r="H2" s="15"/>
      <c r="I2" s="15"/>
      <c r="J2" s="15" t="s">
        <v>21</v>
      </c>
      <c r="K2" s="15"/>
      <c r="L2" s="15" t="s">
        <v>9</v>
      </c>
      <c r="M2" s="15"/>
      <c r="N2" s="15"/>
    </row>
    <row r="3" spans="2:14" x14ac:dyDescent="0.25">
      <c r="B3" s="15"/>
      <c r="C3" s="15" t="s">
        <v>2</v>
      </c>
      <c r="D3" s="15"/>
      <c r="E3" s="15" t="s">
        <v>0</v>
      </c>
      <c r="F3" s="15" t="s">
        <v>3</v>
      </c>
      <c r="G3" s="15" t="s">
        <v>4</v>
      </c>
      <c r="H3" s="15" t="s">
        <v>5</v>
      </c>
      <c r="I3" s="15" t="s">
        <v>6</v>
      </c>
      <c r="J3" s="15" t="s">
        <v>22</v>
      </c>
      <c r="K3" s="15" t="s">
        <v>7</v>
      </c>
      <c r="L3" s="15" t="s">
        <v>10</v>
      </c>
      <c r="M3" s="15"/>
      <c r="N3" s="15" t="s">
        <v>7</v>
      </c>
    </row>
    <row r="4" spans="2:14" x14ac:dyDescent="0.25">
      <c r="B4" s="3">
        <v>601004</v>
      </c>
      <c r="C4" s="3" t="s">
        <v>1</v>
      </c>
      <c r="D4" s="3"/>
      <c r="E4" s="9">
        <v>25471.919999999998</v>
      </c>
      <c r="F4" s="46">
        <v>42278</v>
      </c>
      <c r="G4" s="3" t="s">
        <v>13</v>
      </c>
      <c r="H4" s="9">
        <v>1061.33</v>
      </c>
      <c r="I4" s="3">
        <v>18</v>
      </c>
      <c r="J4" s="9">
        <f>SUM(H4*I4)</f>
        <v>19103.939999999999</v>
      </c>
      <c r="K4" s="9">
        <f>SUM(E4-J4)</f>
        <v>6367.98</v>
      </c>
      <c r="L4" s="9">
        <v>-259.07</v>
      </c>
      <c r="M4" s="3"/>
      <c r="N4" s="10">
        <f>SUM(K4:L4)</f>
        <v>6108.91</v>
      </c>
    </row>
    <row r="5" spans="2:14" x14ac:dyDescent="0.25">
      <c r="B5" s="3"/>
      <c r="C5" s="3"/>
      <c r="D5" s="3"/>
      <c r="E5" s="3"/>
      <c r="F5" s="3"/>
      <c r="G5" s="3"/>
      <c r="H5" s="3"/>
      <c r="I5" s="3"/>
      <c r="J5" s="3"/>
      <c r="K5" s="3"/>
      <c r="L5" s="9"/>
      <c r="M5" s="3"/>
      <c r="N5" s="3"/>
    </row>
    <row r="6" spans="2:14" x14ac:dyDescent="0.25">
      <c r="B6" s="3" t="s">
        <v>28</v>
      </c>
      <c r="C6" s="3" t="s">
        <v>8</v>
      </c>
      <c r="D6" s="3"/>
      <c r="E6" s="9">
        <v>12182.16</v>
      </c>
      <c r="F6" s="46">
        <v>42614</v>
      </c>
      <c r="G6" s="3" t="s">
        <v>14</v>
      </c>
      <c r="H6" s="3">
        <v>507.59</v>
      </c>
      <c r="I6" s="3">
        <v>7</v>
      </c>
      <c r="J6" s="3">
        <f>SUM(I6*H6)</f>
        <v>3553.1299999999997</v>
      </c>
      <c r="K6" s="9">
        <f>SUM(E6-J6)</f>
        <v>8629.0300000000007</v>
      </c>
      <c r="L6" s="9">
        <v>0</v>
      </c>
      <c r="M6" s="3"/>
      <c r="N6" s="10">
        <f>SUM(K6:L6)</f>
        <v>8629.0300000000007</v>
      </c>
    </row>
    <row r="7" spans="2:14" x14ac:dyDescent="0.25">
      <c r="B7" s="3"/>
      <c r="C7" s="3"/>
      <c r="D7" s="3"/>
      <c r="E7" s="9"/>
      <c r="F7" s="3"/>
      <c r="G7" s="3"/>
      <c r="H7" s="3"/>
      <c r="I7" s="3"/>
      <c r="J7" s="3"/>
      <c r="K7" s="3"/>
      <c r="L7" s="9"/>
      <c r="M7" s="3"/>
      <c r="N7" s="3"/>
    </row>
    <row r="8" spans="2:14" x14ac:dyDescent="0.25">
      <c r="B8" s="3">
        <v>601012</v>
      </c>
      <c r="C8" s="3" t="s">
        <v>12</v>
      </c>
      <c r="D8" s="3"/>
      <c r="E8" s="9">
        <v>12736.08</v>
      </c>
      <c r="F8" s="46">
        <v>42522</v>
      </c>
      <c r="G8" s="3" t="s">
        <v>14</v>
      </c>
      <c r="H8" s="3">
        <v>530.66999999999996</v>
      </c>
      <c r="I8" s="3">
        <v>10</v>
      </c>
      <c r="J8" s="3">
        <f>SUM(I8*H8)</f>
        <v>5306.7</v>
      </c>
      <c r="K8" s="9">
        <f>SUM(E8-J8)</f>
        <v>7429.38</v>
      </c>
      <c r="L8" s="9">
        <v>0</v>
      </c>
      <c r="M8" s="3"/>
      <c r="N8" s="10">
        <f>SUM(K8:L8)</f>
        <v>7429.38</v>
      </c>
    </row>
    <row r="9" spans="2:14" x14ac:dyDescent="0.25">
      <c r="B9" s="3"/>
      <c r="C9" s="3"/>
      <c r="D9" s="3"/>
      <c r="E9" s="9"/>
      <c r="F9" s="3"/>
      <c r="G9" s="3"/>
      <c r="H9" s="3"/>
      <c r="I9" s="3"/>
      <c r="J9" s="3"/>
      <c r="K9" s="3"/>
      <c r="L9" s="9"/>
      <c r="M9" s="3"/>
      <c r="N9" s="3"/>
    </row>
    <row r="10" spans="2:14" x14ac:dyDescent="0.25">
      <c r="B10" s="3" t="s">
        <v>27</v>
      </c>
      <c r="C10" s="3" t="s">
        <v>11</v>
      </c>
      <c r="D10" s="3"/>
      <c r="E10" s="9">
        <v>12736.08</v>
      </c>
      <c r="F10" s="46">
        <v>42705</v>
      </c>
      <c r="G10" s="3" t="s">
        <v>15</v>
      </c>
      <c r="H10" s="3">
        <v>530.66999999999996</v>
      </c>
      <c r="I10" s="3">
        <v>4</v>
      </c>
      <c r="J10" s="3">
        <f>SUM(I10*H10)</f>
        <v>2122.6799999999998</v>
      </c>
      <c r="K10" s="9">
        <f>SUM(E10-J10)</f>
        <v>10613.4</v>
      </c>
      <c r="L10" s="9">
        <v>0</v>
      </c>
      <c r="M10" s="3"/>
      <c r="N10" s="10">
        <f>SUM(K10:L10)</f>
        <v>10613.4</v>
      </c>
    </row>
    <row r="11" spans="2:14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2:14" x14ac:dyDescent="0.25">
      <c r="B12" s="3" t="s">
        <v>26</v>
      </c>
      <c r="C12" s="3" t="s">
        <v>18</v>
      </c>
      <c r="D12" s="3"/>
      <c r="E12" s="3" t="s">
        <v>19</v>
      </c>
      <c r="F12" s="3"/>
      <c r="G12" s="3"/>
      <c r="H12" s="3"/>
      <c r="I12" s="3"/>
      <c r="J12" s="3"/>
      <c r="K12" s="3"/>
      <c r="L12" s="3"/>
      <c r="M12" s="3"/>
      <c r="N12" s="3"/>
    </row>
    <row r="13" spans="2:14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2:14" x14ac:dyDescent="0.25">
      <c r="B14" s="15"/>
      <c r="C14" s="15"/>
      <c r="D14" s="15"/>
      <c r="E14" s="15"/>
      <c r="F14" s="15"/>
      <c r="G14" s="15"/>
      <c r="H14" s="15"/>
      <c r="I14" s="15"/>
      <c r="J14" s="15" t="s">
        <v>23</v>
      </c>
      <c r="K14" s="15"/>
      <c r="L14" s="15" t="s">
        <v>9</v>
      </c>
      <c r="M14" s="15"/>
      <c r="N14" s="15"/>
    </row>
    <row r="15" spans="2:14" x14ac:dyDescent="0.25">
      <c r="B15" s="15"/>
      <c r="C15" s="15" t="s">
        <v>16</v>
      </c>
      <c r="D15" s="15"/>
      <c r="E15" s="15" t="s">
        <v>0</v>
      </c>
      <c r="F15" s="15" t="s">
        <v>3</v>
      </c>
      <c r="G15" s="15" t="s">
        <v>4</v>
      </c>
      <c r="H15" s="15" t="s">
        <v>5</v>
      </c>
      <c r="I15" s="15" t="s">
        <v>6</v>
      </c>
      <c r="J15" s="15" t="s">
        <v>22</v>
      </c>
      <c r="K15" s="15" t="s">
        <v>7</v>
      </c>
      <c r="L15" s="15" t="s">
        <v>24</v>
      </c>
      <c r="M15" s="15"/>
      <c r="N15" s="15" t="s">
        <v>7</v>
      </c>
    </row>
    <row r="16" spans="2:14" x14ac:dyDescent="0.25">
      <c r="B16" s="15"/>
      <c r="C16" s="15"/>
      <c r="D16" s="15"/>
      <c r="E16" s="15"/>
      <c r="F16" s="15"/>
      <c r="G16" s="15" t="s">
        <v>15</v>
      </c>
      <c r="H16" s="15"/>
      <c r="I16" s="15"/>
      <c r="J16" s="15"/>
      <c r="K16" s="15"/>
      <c r="L16" s="15"/>
      <c r="M16" s="15"/>
      <c r="N16" s="15"/>
    </row>
    <row r="17" spans="2:14" x14ac:dyDescent="0.25">
      <c r="B17" s="3">
        <v>602515</v>
      </c>
      <c r="C17" s="3" t="s">
        <v>20</v>
      </c>
      <c r="D17" s="3"/>
      <c r="E17" s="9">
        <v>31009.439999999999</v>
      </c>
      <c r="F17" s="46">
        <v>42491</v>
      </c>
      <c r="G17" s="3"/>
      <c r="H17" s="3">
        <v>1292.06</v>
      </c>
      <c r="I17" s="3">
        <v>11</v>
      </c>
      <c r="J17" s="3">
        <f>SUM(I17*H17)</f>
        <v>14212.66</v>
      </c>
      <c r="K17" s="9">
        <f>SUM(E17-J17)</f>
        <v>16796.78</v>
      </c>
      <c r="L17" s="3"/>
      <c r="M17" s="3"/>
      <c r="N17" s="10">
        <f>SUM(K17:L17)</f>
        <v>16796.78</v>
      </c>
    </row>
    <row r="18" spans="2:14" x14ac:dyDescent="0.25">
      <c r="B18" s="3"/>
      <c r="C18" s="3"/>
      <c r="D18" s="3"/>
      <c r="E18" s="9"/>
      <c r="F18" s="3"/>
      <c r="G18" s="3"/>
      <c r="H18" s="3"/>
      <c r="I18" s="3"/>
      <c r="J18" s="3"/>
      <c r="K18" s="3"/>
      <c r="L18" s="3"/>
      <c r="M18" s="3"/>
      <c r="N18" s="3"/>
    </row>
    <row r="19" spans="2:14" x14ac:dyDescent="0.25">
      <c r="B19" s="3">
        <v>602957</v>
      </c>
      <c r="C19" s="3" t="s">
        <v>25</v>
      </c>
      <c r="D19" s="3"/>
      <c r="E19" s="9">
        <v>31009.439999999999</v>
      </c>
      <c r="F19" s="46">
        <v>42826</v>
      </c>
      <c r="G19" s="3"/>
      <c r="H19" s="3">
        <v>1292.06</v>
      </c>
      <c r="I19" s="3">
        <v>0</v>
      </c>
      <c r="J19" s="3">
        <f>SUM(I19*H19)</f>
        <v>0</v>
      </c>
      <c r="K19" s="9">
        <f>SUM(E19-J19)</f>
        <v>31009.439999999999</v>
      </c>
      <c r="L19" s="3"/>
      <c r="M19" s="3"/>
      <c r="N19" s="10">
        <f>SUM(K19:L19)</f>
        <v>31009.439999999999</v>
      </c>
    </row>
  </sheetData>
  <pageMargins left="0.7" right="0.7" top="0.75" bottom="0.75" header="0.3" footer="0.3"/>
  <pageSetup scale="80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V143"/>
  <sheetViews>
    <sheetView workbookViewId="0">
      <selection activeCell="F48" sqref="F48"/>
    </sheetView>
  </sheetViews>
  <sheetFormatPr defaultRowHeight="15" x14ac:dyDescent="0.25"/>
  <cols>
    <col min="1" max="1" width="4.28515625" customWidth="1"/>
    <col min="4" max="4" width="14.7109375" customWidth="1"/>
    <col min="5" max="5" width="16.85546875" customWidth="1"/>
    <col min="7" max="7" width="12.85546875" customWidth="1"/>
    <col min="8" max="8" width="21" customWidth="1"/>
    <col min="9" max="9" width="19.28515625" customWidth="1"/>
    <col min="11" max="11" width="17" customWidth="1"/>
    <col min="12" max="12" width="20.28515625" customWidth="1"/>
    <col min="13" max="13" width="23.140625" customWidth="1"/>
    <col min="14" max="14" width="11.28515625" customWidth="1"/>
    <col min="15" max="15" width="12.7109375" customWidth="1"/>
    <col min="16" max="16" width="12.85546875" customWidth="1"/>
    <col min="17" max="17" width="13.140625" customWidth="1"/>
    <col min="19" max="19" width="12.42578125" customWidth="1"/>
  </cols>
  <sheetData>
    <row r="3" spans="1:22" ht="36" x14ac:dyDescent="0.55000000000000004">
      <c r="A3" s="3"/>
      <c r="B3" s="3"/>
      <c r="C3" s="3"/>
      <c r="D3" s="3"/>
      <c r="E3" s="3"/>
      <c r="F3" s="3"/>
      <c r="G3" s="3"/>
      <c r="H3" s="45" t="s">
        <v>29</v>
      </c>
      <c r="I3" s="3"/>
      <c r="J3" s="3"/>
      <c r="K3" s="3"/>
      <c r="L3" s="3"/>
      <c r="M3" s="3"/>
      <c r="N3" s="3"/>
      <c r="O3" s="3"/>
      <c r="P3" s="47" t="s">
        <v>15</v>
      </c>
      <c r="Q3" s="47"/>
      <c r="R3" s="3"/>
      <c r="S3" s="3"/>
      <c r="T3" s="3"/>
      <c r="U3" s="3"/>
      <c r="V3" s="3"/>
    </row>
    <row r="4" spans="1:22" x14ac:dyDescent="0.25">
      <c r="A4" s="3"/>
      <c r="B4" s="15"/>
      <c r="C4" s="15" t="s">
        <v>17</v>
      </c>
      <c r="D4" s="15"/>
      <c r="E4" s="15"/>
      <c r="F4" s="15"/>
      <c r="G4" s="15"/>
      <c r="H4" s="15"/>
      <c r="I4" s="15"/>
      <c r="J4" s="15"/>
      <c r="K4" s="15" t="s">
        <v>34</v>
      </c>
      <c r="L4" s="15"/>
      <c r="M4" s="15"/>
      <c r="N4" s="15"/>
      <c r="O4" s="15" t="s">
        <v>21</v>
      </c>
      <c r="P4" s="15"/>
      <c r="Q4" s="15" t="s">
        <v>2</v>
      </c>
      <c r="R4" s="15"/>
      <c r="S4" s="15"/>
      <c r="T4" s="3"/>
      <c r="U4" s="3"/>
      <c r="V4" s="3"/>
    </row>
    <row r="5" spans="1:22" x14ac:dyDescent="0.25">
      <c r="A5" s="3"/>
      <c r="B5" s="15"/>
      <c r="C5" s="15" t="s">
        <v>2</v>
      </c>
      <c r="D5" s="15"/>
      <c r="E5" s="15" t="s">
        <v>29</v>
      </c>
      <c r="F5" s="15" t="s">
        <v>3</v>
      </c>
      <c r="G5" s="65" t="s">
        <v>30</v>
      </c>
      <c r="H5" s="15" t="s">
        <v>4</v>
      </c>
      <c r="I5" s="15" t="s">
        <v>35</v>
      </c>
      <c r="J5" s="15" t="s">
        <v>6</v>
      </c>
      <c r="K5" s="15"/>
      <c r="L5" s="15" t="s">
        <v>7</v>
      </c>
      <c r="M5" s="15" t="s">
        <v>36</v>
      </c>
      <c r="N5" s="15" t="s">
        <v>6</v>
      </c>
      <c r="O5" s="15" t="s">
        <v>22</v>
      </c>
      <c r="P5" s="15" t="s">
        <v>7</v>
      </c>
      <c r="Q5" s="15" t="s">
        <v>30</v>
      </c>
      <c r="R5" s="15"/>
      <c r="S5" s="15" t="s">
        <v>7</v>
      </c>
      <c r="T5" s="3"/>
      <c r="U5" s="3"/>
      <c r="V5" s="3"/>
    </row>
    <row r="6" spans="1:22" x14ac:dyDescent="0.25">
      <c r="A6" s="3">
        <v>1</v>
      </c>
      <c r="B6" s="3">
        <v>601004</v>
      </c>
      <c r="C6" s="3" t="s">
        <v>1</v>
      </c>
      <c r="D6" s="3"/>
      <c r="E6" s="9">
        <v>22354.080000000002</v>
      </c>
      <c r="F6" s="46">
        <v>42583</v>
      </c>
      <c r="G6" s="66" t="s">
        <v>37</v>
      </c>
      <c r="H6" s="3" t="s">
        <v>13</v>
      </c>
      <c r="I6" s="9">
        <v>931.42</v>
      </c>
      <c r="J6" s="3">
        <v>8</v>
      </c>
      <c r="K6" s="9">
        <f>SUM(I6*J6)</f>
        <v>7451.36</v>
      </c>
      <c r="L6" s="9">
        <f>SUM(E6-K6)</f>
        <v>14902.720000000001</v>
      </c>
      <c r="M6" s="3" t="s">
        <v>37</v>
      </c>
      <c r="N6" s="3" t="s">
        <v>37</v>
      </c>
      <c r="O6" s="9" t="s">
        <v>37</v>
      </c>
      <c r="P6" s="9">
        <f>SUM(E6-K6)</f>
        <v>14902.720000000001</v>
      </c>
      <c r="Q6" s="9" t="s">
        <v>37</v>
      </c>
      <c r="R6" s="3"/>
      <c r="S6" s="10">
        <f>SUM(P6:Q6)</f>
        <v>14902.720000000001</v>
      </c>
      <c r="T6" s="3"/>
      <c r="U6" s="3"/>
      <c r="V6" s="3"/>
    </row>
    <row r="7" spans="1:22" x14ac:dyDescent="0.25">
      <c r="A7" s="3"/>
      <c r="B7" s="3"/>
      <c r="C7" s="3"/>
      <c r="D7" s="3"/>
      <c r="E7" s="9"/>
      <c r="F7" s="46"/>
      <c r="G7" s="66"/>
      <c r="H7" s="3"/>
      <c r="I7" s="9"/>
      <c r="J7" s="3"/>
      <c r="K7" s="9"/>
      <c r="L7" s="9"/>
      <c r="M7" s="3"/>
      <c r="N7" s="3"/>
      <c r="O7" s="9"/>
      <c r="P7" s="9"/>
      <c r="Q7" s="9"/>
      <c r="R7" s="3"/>
      <c r="S7" s="10"/>
      <c r="T7" s="3"/>
      <c r="U7" s="3"/>
      <c r="V7" s="3"/>
    </row>
    <row r="8" spans="1:22" x14ac:dyDescent="0.25">
      <c r="A8" s="3"/>
      <c r="B8" s="3"/>
      <c r="C8" s="3"/>
      <c r="D8" s="3"/>
      <c r="E8" s="3"/>
      <c r="F8" s="3"/>
      <c r="G8" s="67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x14ac:dyDescent="0.25">
      <c r="A9" s="3"/>
      <c r="B9" s="26"/>
      <c r="C9" s="26"/>
      <c r="D9" s="26"/>
      <c r="E9" s="26"/>
      <c r="F9" s="26"/>
      <c r="G9" s="68"/>
      <c r="H9" s="26"/>
      <c r="I9" s="26"/>
      <c r="J9" s="26"/>
      <c r="K9" s="26"/>
      <c r="L9" s="26"/>
      <c r="M9" s="26"/>
      <c r="N9" s="26"/>
      <c r="O9" s="26"/>
      <c r="P9" s="47" t="s">
        <v>15</v>
      </c>
      <c r="Q9" s="47"/>
      <c r="R9" s="26"/>
      <c r="S9" s="26"/>
      <c r="T9" s="26"/>
      <c r="U9" s="3"/>
      <c r="V9" s="3"/>
    </row>
    <row r="10" spans="1:22" x14ac:dyDescent="0.25">
      <c r="A10" s="3"/>
      <c r="B10" s="15"/>
      <c r="C10" s="15" t="s">
        <v>17</v>
      </c>
      <c r="D10" s="15"/>
      <c r="E10" s="15"/>
      <c r="F10" s="15"/>
      <c r="G10" s="65"/>
      <c r="H10" s="15"/>
      <c r="I10" s="15"/>
      <c r="J10" s="15"/>
      <c r="K10" s="15" t="s">
        <v>34</v>
      </c>
      <c r="L10" s="15"/>
      <c r="M10" s="15"/>
      <c r="N10" s="15"/>
      <c r="O10" s="15" t="s">
        <v>21</v>
      </c>
      <c r="P10" s="15"/>
      <c r="Q10" s="15" t="s">
        <v>2</v>
      </c>
      <c r="R10" s="15"/>
      <c r="S10" s="15"/>
      <c r="T10" s="26"/>
      <c r="U10" s="3"/>
      <c r="V10" s="3"/>
    </row>
    <row r="11" spans="1:22" x14ac:dyDescent="0.25">
      <c r="A11" s="3"/>
      <c r="B11" s="15"/>
      <c r="C11" s="15" t="s">
        <v>2</v>
      </c>
      <c r="D11" s="15"/>
      <c r="E11" s="15" t="s">
        <v>29</v>
      </c>
      <c r="F11" s="15" t="s">
        <v>3</v>
      </c>
      <c r="G11" s="65" t="s">
        <v>30</v>
      </c>
      <c r="H11" s="15" t="s">
        <v>4</v>
      </c>
      <c r="I11" s="15" t="s">
        <v>35</v>
      </c>
      <c r="J11" s="15" t="s">
        <v>6</v>
      </c>
      <c r="K11" s="15"/>
      <c r="L11" s="15" t="s">
        <v>7</v>
      </c>
      <c r="M11" s="15" t="s">
        <v>36</v>
      </c>
      <c r="N11" s="15" t="s">
        <v>6</v>
      </c>
      <c r="O11" s="15" t="s">
        <v>22</v>
      </c>
      <c r="P11" s="15" t="s">
        <v>7</v>
      </c>
      <c r="Q11" s="15" t="s">
        <v>30</v>
      </c>
      <c r="R11" s="15"/>
      <c r="S11" s="15" t="s">
        <v>7</v>
      </c>
      <c r="T11" s="26"/>
      <c r="U11" s="3"/>
      <c r="V11" s="3"/>
    </row>
    <row r="12" spans="1:22" x14ac:dyDescent="0.25">
      <c r="A12" s="3"/>
      <c r="B12" s="26"/>
      <c r="C12" s="26"/>
      <c r="D12" s="26"/>
      <c r="E12" s="26"/>
      <c r="F12" s="26"/>
      <c r="G12" s="68"/>
      <c r="H12" s="26"/>
      <c r="I12" s="26"/>
      <c r="J12" s="26"/>
      <c r="K12" s="26"/>
      <c r="L12" s="26"/>
      <c r="M12" s="26"/>
      <c r="N12" s="26"/>
      <c r="O12" s="26"/>
      <c r="P12" s="26"/>
      <c r="Q12" s="48"/>
      <c r="R12" s="26"/>
      <c r="S12" s="26"/>
      <c r="T12" s="26"/>
      <c r="U12" s="3"/>
      <c r="V12" s="3"/>
    </row>
    <row r="13" spans="1:22" x14ac:dyDescent="0.25">
      <c r="A13" s="3">
        <v>1</v>
      </c>
      <c r="B13" s="3" t="s">
        <v>28</v>
      </c>
      <c r="C13" s="3" t="s">
        <v>8</v>
      </c>
      <c r="D13" s="3"/>
      <c r="E13" s="9">
        <v>8536.56</v>
      </c>
      <c r="F13" s="46">
        <v>42278</v>
      </c>
      <c r="G13" s="66">
        <v>42826</v>
      </c>
      <c r="H13" s="3" t="s">
        <v>14</v>
      </c>
      <c r="I13" s="3">
        <v>355.69</v>
      </c>
      <c r="J13" s="3">
        <v>18</v>
      </c>
      <c r="K13" s="3">
        <f>SUM(I13*J13)</f>
        <v>6402.42</v>
      </c>
      <c r="L13" s="9">
        <f>SUM(E13-K13)</f>
        <v>2134.1399999999994</v>
      </c>
      <c r="M13" s="3" t="s">
        <v>37</v>
      </c>
      <c r="N13" s="3" t="s">
        <v>37</v>
      </c>
      <c r="O13" s="9" t="s">
        <v>37</v>
      </c>
      <c r="P13" s="9">
        <f>SUM(E13-K13)</f>
        <v>2134.1399999999994</v>
      </c>
      <c r="Q13" s="49">
        <v>42826</v>
      </c>
      <c r="R13" s="3"/>
      <c r="S13" s="50">
        <f>SUM(E13-K13)</f>
        <v>2134.1399999999994</v>
      </c>
      <c r="T13" s="51" t="s">
        <v>31</v>
      </c>
      <c r="U13" s="51" t="s">
        <v>32</v>
      </c>
      <c r="V13" s="51"/>
    </row>
    <row r="14" spans="1:22" x14ac:dyDescent="0.25">
      <c r="A14" s="3"/>
      <c r="B14" s="52"/>
      <c r="C14" s="52"/>
      <c r="D14" s="52"/>
      <c r="E14" s="52"/>
      <c r="F14" s="53"/>
      <c r="G14" s="69"/>
      <c r="H14" s="52"/>
      <c r="I14" s="54"/>
      <c r="J14" s="52"/>
      <c r="K14" s="52"/>
      <c r="L14" s="54"/>
      <c r="M14" s="52"/>
      <c r="N14" s="52"/>
      <c r="O14" s="52"/>
      <c r="P14" s="54"/>
      <c r="Q14" s="55"/>
      <c r="R14" s="52"/>
      <c r="S14" s="50"/>
      <c r="T14" s="51"/>
      <c r="U14" s="51"/>
      <c r="V14" s="51"/>
    </row>
    <row r="15" spans="1:22" x14ac:dyDescent="0.25">
      <c r="A15" s="3"/>
      <c r="B15" s="3"/>
      <c r="C15" s="56" t="s">
        <v>42</v>
      </c>
      <c r="D15" s="56"/>
      <c r="E15" s="9"/>
      <c r="F15" s="46"/>
      <c r="G15" s="66"/>
      <c r="H15" s="3"/>
      <c r="I15" s="26" t="s">
        <v>2</v>
      </c>
      <c r="J15" s="3"/>
      <c r="K15" s="3"/>
      <c r="L15" s="9"/>
      <c r="M15" s="3"/>
      <c r="N15" s="3"/>
      <c r="O15" s="9"/>
      <c r="P15" s="9"/>
      <c r="Q15" s="49"/>
      <c r="R15" s="3"/>
      <c r="S15" s="50"/>
      <c r="T15" s="51"/>
      <c r="U15" s="51"/>
      <c r="V15" s="51"/>
    </row>
    <row r="16" spans="1:22" x14ac:dyDescent="0.25">
      <c r="A16" s="3">
        <v>2</v>
      </c>
      <c r="B16" s="3" t="s">
        <v>28</v>
      </c>
      <c r="C16" s="3" t="s">
        <v>8</v>
      </c>
      <c r="D16" s="3"/>
      <c r="E16" s="9">
        <v>16415.04</v>
      </c>
      <c r="F16" s="46">
        <v>42887</v>
      </c>
      <c r="G16" s="66" t="s">
        <v>37</v>
      </c>
      <c r="H16" s="3" t="s">
        <v>37</v>
      </c>
      <c r="I16" s="3">
        <v>683.96</v>
      </c>
      <c r="J16" s="3">
        <v>0</v>
      </c>
      <c r="K16" s="3">
        <f>SUM(I16*J16)</f>
        <v>0</v>
      </c>
      <c r="L16" s="9">
        <f>SUM(E16-K16)</f>
        <v>16415.04</v>
      </c>
      <c r="M16" s="3"/>
      <c r="N16" s="3"/>
      <c r="O16" s="9"/>
      <c r="P16" s="9"/>
      <c r="Q16" s="49"/>
      <c r="R16" s="3"/>
      <c r="S16" s="57">
        <f>SUM(E16-K16)</f>
        <v>16415.04</v>
      </c>
      <c r="T16" s="26"/>
      <c r="U16" s="26"/>
      <c r="V16" s="26"/>
    </row>
    <row r="17" spans="1:22" x14ac:dyDescent="0.25">
      <c r="A17" s="3"/>
      <c r="B17" s="3"/>
      <c r="C17" s="3"/>
      <c r="D17" s="3"/>
      <c r="E17" s="3"/>
      <c r="F17" s="46"/>
      <c r="G17" s="66"/>
      <c r="H17" s="3"/>
      <c r="I17" s="3"/>
      <c r="J17" s="3"/>
      <c r="K17" s="3"/>
      <c r="L17" s="3"/>
      <c r="M17" s="3"/>
      <c r="N17" s="3"/>
      <c r="O17" s="9"/>
      <c r="P17" s="9"/>
      <c r="Q17" s="49"/>
      <c r="R17" s="3"/>
      <c r="S17" s="57"/>
      <c r="T17" s="26"/>
      <c r="U17" s="26"/>
      <c r="V17" s="26"/>
    </row>
    <row r="18" spans="1:22" x14ac:dyDescent="0.25">
      <c r="A18" s="3"/>
      <c r="B18" s="15"/>
      <c r="C18" s="15" t="s">
        <v>17</v>
      </c>
      <c r="D18" s="15"/>
      <c r="E18" s="15"/>
      <c r="F18" s="15"/>
      <c r="G18" s="65"/>
      <c r="H18" s="15"/>
      <c r="I18" s="15"/>
      <c r="J18" s="15"/>
      <c r="K18" s="15" t="s">
        <v>34</v>
      </c>
      <c r="L18" s="15"/>
      <c r="M18" s="15"/>
      <c r="N18" s="15"/>
      <c r="O18" s="15" t="s">
        <v>21</v>
      </c>
      <c r="P18" s="15"/>
      <c r="Q18" s="15" t="s">
        <v>2</v>
      </c>
      <c r="R18" s="15"/>
      <c r="S18" s="15"/>
      <c r="T18" s="26"/>
      <c r="U18" s="3"/>
      <c r="V18" s="3"/>
    </row>
    <row r="19" spans="1:22" x14ac:dyDescent="0.25">
      <c r="A19" s="3"/>
      <c r="B19" s="15"/>
      <c r="C19" s="15" t="s">
        <v>2</v>
      </c>
      <c r="D19" s="15"/>
      <c r="E19" s="15" t="s">
        <v>29</v>
      </c>
      <c r="F19" s="15" t="s">
        <v>3</v>
      </c>
      <c r="G19" s="65" t="s">
        <v>30</v>
      </c>
      <c r="H19" s="15" t="s">
        <v>4</v>
      </c>
      <c r="I19" s="15" t="s">
        <v>35</v>
      </c>
      <c r="J19" s="15" t="s">
        <v>6</v>
      </c>
      <c r="K19" s="15"/>
      <c r="L19" s="15" t="s">
        <v>7</v>
      </c>
      <c r="M19" s="15" t="s">
        <v>36</v>
      </c>
      <c r="N19" s="15" t="s">
        <v>6</v>
      </c>
      <c r="O19" s="15" t="s">
        <v>22</v>
      </c>
      <c r="P19" s="15" t="s">
        <v>7</v>
      </c>
      <c r="Q19" s="15" t="s">
        <v>30</v>
      </c>
      <c r="R19" s="15"/>
      <c r="S19" s="15" t="s">
        <v>7</v>
      </c>
      <c r="T19" s="26"/>
      <c r="U19" s="3"/>
      <c r="V19" s="3"/>
    </row>
    <row r="20" spans="1:22" x14ac:dyDescent="0.25">
      <c r="A20" s="3"/>
      <c r="B20" s="26"/>
      <c r="C20" s="26"/>
      <c r="D20" s="26"/>
      <c r="E20" s="26"/>
      <c r="F20" s="58"/>
      <c r="G20" s="70"/>
      <c r="H20" s="26"/>
      <c r="I20" s="26"/>
      <c r="J20" s="26"/>
      <c r="K20" s="26"/>
      <c r="L20" s="26"/>
      <c r="M20" s="26"/>
      <c r="N20" s="26"/>
      <c r="O20" s="48"/>
      <c r="P20" s="48"/>
      <c r="Q20" s="59">
        <v>42767</v>
      </c>
      <c r="R20" s="3"/>
      <c r="S20" s="57"/>
      <c r="T20" s="26"/>
      <c r="U20" s="26"/>
      <c r="V20" s="26"/>
    </row>
    <row r="21" spans="1:22" x14ac:dyDescent="0.25">
      <c r="A21" s="3"/>
      <c r="B21" s="3"/>
      <c r="C21" s="3"/>
      <c r="D21" s="3"/>
      <c r="E21" s="3"/>
      <c r="F21" s="3"/>
      <c r="G21" s="67"/>
      <c r="H21" s="3"/>
      <c r="I21" s="3"/>
      <c r="J21" s="3"/>
      <c r="K21" s="3" t="s">
        <v>34</v>
      </c>
      <c r="L21" s="3"/>
      <c r="M21" s="60" t="s">
        <v>39</v>
      </c>
      <c r="N21" s="3" t="s">
        <v>6</v>
      </c>
      <c r="O21" s="3"/>
      <c r="P21" s="47" t="s">
        <v>40</v>
      </c>
      <c r="Q21" s="61"/>
      <c r="R21" s="3"/>
      <c r="S21" s="3"/>
      <c r="T21" s="3"/>
      <c r="U21" s="3"/>
      <c r="V21" s="3"/>
    </row>
    <row r="22" spans="1:22" x14ac:dyDescent="0.25">
      <c r="A22" s="3"/>
      <c r="B22" s="3"/>
      <c r="C22" s="3"/>
      <c r="D22" s="3"/>
      <c r="E22" s="3"/>
      <c r="F22" s="3"/>
      <c r="G22" s="67"/>
      <c r="H22" s="3"/>
      <c r="I22" s="3"/>
      <c r="J22" s="3"/>
      <c r="K22" s="3" t="s">
        <v>38</v>
      </c>
      <c r="L22" s="3"/>
      <c r="M22" s="46">
        <v>42461</v>
      </c>
      <c r="N22" s="3"/>
      <c r="O22" s="3"/>
      <c r="P22" s="47" t="s">
        <v>41</v>
      </c>
      <c r="Q22" s="61"/>
      <c r="R22" s="3"/>
      <c r="S22" s="3"/>
      <c r="T22" s="3"/>
      <c r="U22" s="3"/>
      <c r="V22" s="3"/>
    </row>
    <row r="23" spans="1:22" x14ac:dyDescent="0.25">
      <c r="A23" s="3">
        <v>1</v>
      </c>
      <c r="B23" s="3">
        <v>601012</v>
      </c>
      <c r="C23" s="3" t="s">
        <v>12</v>
      </c>
      <c r="D23" s="3"/>
      <c r="E23" s="9">
        <v>9397.44</v>
      </c>
      <c r="F23" s="46">
        <v>42401</v>
      </c>
      <c r="G23" s="66">
        <v>42767</v>
      </c>
      <c r="H23" s="3" t="s">
        <v>33</v>
      </c>
      <c r="I23" s="9">
        <v>391.56</v>
      </c>
      <c r="J23" s="3">
        <v>2</v>
      </c>
      <c r="K23" s="3">
        <v>783.12</v>
      </c>
      <c r="L23" s="9">
        <f>SUM(E23-K23)</f>
        <v>8614.32</v>
      </c>
      <c r="M23" s="3">
        <v>783.12</v>
      </c>
      <c r="N23" s="3">
        <v>10</v>
      </c>
      <c r="O23" s="3">
        <f>SUM(M23*N23)</f>
        <v>7831.2</v>
      </c>
      <c r="P23" s="9">
        <f>SUM(L23-O23)</f>
        <v>783.11999999999989</v>
      </c>
      <c r="Q23" s="59">
        <v>42767</v>
      </c>
      <c r="R23" s="3"/>
      <c r="S23" s="50">
        <v>783.12</v>
      </c>
      <c r="T23" s="51" t="s">
        <v>31</v>
      </c>
      <c r="U23" s="3"/>
      <c r="V23" s="3"/>
    </row>
    <row r="24" spans="1:22" x14ac:dyDescent="0.25">
      <c r="A24" s="3"/>
      <c r="B24" s="52"/>
      <c r="C24" s="52"/>
      <c r="D24" s="52"/>
      <c r="E24" s="52"/>
      <c r="F24" s="53"/>
      <c r="G24" s="69"/>
      <c r="H24" s="52"/>
      <c r="I24" s="54"/>
      <c r="J24" s="52"/>
      <c r="K24" s="52"/>
      <c r="L24" s="54"/>
      <c r="M24" s="52"/>
      <c r="N24" s="52"/>
      <c r="O24" s="52"/>
      <c r="P24" s="54"/>
      <c r="Q24" s="55"/>
      <c r="R24" s="52"/>
      <c r="S24" s="62"/>
      <c r="T24" s="51"/>
      <c r="U24" s="3"/>
      <c r="V24" s="3"/>
    </row>
    <row r="25" spans="1:22" x14ac:dyDescent="0.25">
      <c r="A25" s="3"/>
      <c r="B25" s="26"/>
      <c r="C25" s="56" t="s">
        <v>42</v>
      </c>
      <c r="D25" s="56"/>
      <c r="E25" s="63" t="s">
        <v>2</v>
      </c>
      <c r="F25" s="26"/>
      <c r="G25" s="68"/>
      <c r="H25" s="26"/>
      <c r="I25" s="48"/>
      <c r="J25" s="26"/>
      <c r="K25" s="26"/>
      <c r="L25" s="26"/>
      <c r="M25" s="26"/>
      <c r="N25" s="26"/>
      <c r="O25" s="26" t="s">
        <v>34</v>
      </c>
      <c r="P25" s="26" t="s">
        <v>7</v>
      </c>
      <c r="Q25" s="48"/>
      <c r="R25" s="26"/>
      <c r="S25" s="26"/>
      <c r="T25" s="26"/>
      <c r="U25" s="26"/>
      <c r="V25" s="26"/>
    </row>
    <row r="26" spans="1:22" x14ac:dyDescent="0.25">
      <c r="A26" s="3">
        <v>2</v>
      </c>
      <c r="B26" s="3">
        <v>601012</v>
      </c>
      <c r="C26" s="3" t="s">
        <v>12</v>
      </c>
      <c r="D26" s="3"/>
      <c r="E26" s="9">
        <v>15648.24</v>
      </c>
      <c r="F26" s="46">
        <v>42826</v>
      </c>
      <c r="G26" s="66" t="s">
        <v>37</v>
      </c>
      <c r="H26" s="3">
        <v>0</v>
      </c>
      <c r="I26" s="9">
        <v>652.01</v>
      </c>
      <c r="J26" s="3">
        <v>0</v>
      </c>
      <c r="K26" s="3">
        <f>SUM(I26*J26)</f>
        <v>0</v>
      </c>
      <c r="L26" s="9">
        <f>SUM(E26-K26)</f>
        <v>15648.24</v>
      </c>
      <c r="M26" s="3" t="s">
        <v>37</v>
      </c>
      <c r="N26" s="3">
        <v>0</v>
      </c>
      <c r="O26" s="3"/>
      <c r="P26" s="9">
        <f>SUM(E26-H26)</f>
        <v>15648.24</v>
      </c>
      <c r="Q26" s="64" t="s">
        <v>37</v>
      </c>
      <c r="R26" s="3"/>
      <c r="S26" s="10">
        <f>SUM(P26:Q26)</f>
        <v>15648.24</v>
      </c>
      <c r="T26" s="26" t="s">
        <v>2</v>
      </c>
      <c r="U26" s="3"/>
      <c r="V26" s="3"/>
    </row>
    <row r="27" spans="1:22" x14ac:dyDescent="0.25">
      <c r="A27" s="3"/>
      <c r="B27" s="3"/>
      <c r="C27" s="3"/>
      <c r="D27" s="3"/>
      <c r="E27" s="3"/>
      <c r="F27" s="46"/>
      <c r="G27" s="66"/>
      <c r="H27" s="3"/>
      <c r="I27" s="9"/>
      <c r="J27" s="3"/>
      <c r="K27" s="3"/>
      <c r="L27" s="9"/>
      <c r="M27" s="3"/>
      <c r="N27" s="3"/>
      <c r="O27" s="3"/>
      <c r="P27" s="3"/>
      <c r="Q27" s="64"/>
      <c r="R27" s="3"/>
      <c r="S27" s="10"/>
      <c r="T27" s="26"/>
      <c r="U27" s="3"/>
      <c r="V27" s="3"/>
    </row>
    <row r="28" spans="1:22" x14ac:dyDescent="0.25">
      <c r="A28" s="3"/>
      <c r="B28" s="15"/>
      <c r="C28" s="15" t="s">
        <v>17</v>
      </c>
      <c r="D28" s="15"/>
      <c r="E28" s="15"/>
      <c r="F28" s="15"/>
      <c r="G28" s="65"/>
      <c r="H28" s="15"/>
      <c r="I28" s="15"/>
      <c r="J28" s="15"/>
      <c r="K28" s="15" t="s">
        <v>34</v>
      </c>
      <c r="L28" s="15"/>
      <c r="M28" s="15"/>
      <c r="N28" s="15"/>
      <c r="O28" s="15" t="s">
        <v>21</v>
      </c>
      <c r="P28" s="15"/>
      <c r="Q28" s="15" t="s">
        <v>2</v>
      </c>
      <c r="R28" s="15"/>
      <c r="S28" s="15"/>
      <c r="T28" s="26"/>
      <c r="U28" s="3"/>
      <c r="V28" s="3"/>
    </row>
    <row r="29" spans="1:22" x14ac:dyDescent="0.25">
      <c r="A29" s="3"/>
      <c r="B29" s="15"/>
      <c r="C29" s="15" t="s">
        <v>2</v>
      </c>
      <c r="D29" s="15"/>
      <c r="E29" s="15" t="s">
        <v>29</v>
      </c>
      <c r="F29" s="15" t="s">
        <v>3</v>
      </c>
      <c r="G29" s="65" t="s">
        <v>30</v>
      </c>
      <c r="H29" s="15" t="s">
        <v>4</v>
      </c>
      <c r="I29" s="15" t="s">
        <v>35</v>
      </c>
      <c r="J29" s="15" t="s">
        <v>6</v>
      </c>
      <c r="K29" s="15"/>
      <c r="L29" s="15" t="s">
        <v>7</v>
      </c>
      <c r="M29" s="15" t="s">
        <v>36</v>
      </c>
      <c r="N29" s="15" t="s">
        <v>6</v>
      </c>
      <c r="O29" s="15" t="s">
        <v>22</v>
      </c>
      <c r="P29" s="15" t="s">
        <v>7</v>
      </c>
      <c r="Q29" s="15" t="s">
        <v>30</v>
      </c>
      <c r="R29" s="15"/>
      <c r="S29" s="15" t="s">
        <v>7</v>
      </c>
      <c r="T29" s="26"/>
      <c r="U29" s="3"/>
      <c r="V29" s="3"/>
    </row>
    <row r="30" spans="1:22" x14ac:dyDescent="0.25">
      <c r="A30" s="3"/>
      <c r="B30" s="3"/>
      <c r="C30" s="3"/>
      <c r="D30" s="3"/>
      <c r="E30" s="3"/>
      <c r="F30" s="46"/>
      <c r="G30" s="66"/>
      <c r="H30" s="3"/>
      <c r="I30" s="9"/>
      <c r="J30" s="3"/>
      <c r="K30" s="3"/>
      <c r="L30" s="9"/>
      <c r="M30" s="3"/>
      <c r="N30" s="3"/>
      <c r="O30" s="3"/>
      <c r="P30" s="3"/>
      <c r="Q30" s="64">
        <v>42826</v>
      </c>
      <c r="R30" s="3"/>
      <c r="S30" s="10"/>
      <c r="T30" s="26"/>
      <c r="U30" s="3"/>
      <c r="V30" s="3"/>
    </row>
    <row r="31" spans="1:22" x14ac:dyDescent="0.25">
      <c r="A31" s="3"/>
      <c r="B31" s="3"/>
      <c r="C31" s="3"/>
      <c r="D31" s="3"/>
      <c r="E31" s="3"/>
      <c r="F31" s="3"/>
      <c r="G31" s="67"/>
      <c r="H31" s="3"/>
      <c r="I31" s="9"/>
      <c r="J31" s="3"/>
      <c r="K31" s="3"/>
      <c r="L31" s="3"/>
      <c r="M31" s="3"/>
      <c r="N31" s="3"/>
      <c r="O31" s="3"/>
      <c r="P31" s="3"/>
      <c r="Q31" s="9"/>
      <c r="R31" s="3"/>
      <c r="S31" s="3"/>
      <c r="T31" s="3"/>
      <c r="U31" s="3"/>
      <c r="V31" s="3"/>
    </row>
    <row r="32" spans="1:22" x14ac:dyDescent="0.25">
      <c r="A32" s="3">
        <v>1</v>
      </c>
      <c r="B32" s="3" t="s">
        <v>27</v>
      </c>
      <c r="C32" s="3" t="s">
        <v>11</v>
      </c>
      <c r="D32" s="3"/>
      <c r="E32" s="9">
        <v>7691.04</v>
      </c>
      <c r="F32" s="46">
        <v>42491</v>
      </c>
      <c r="G32" s="66" t="s">
        <v>37</v>
      </c>
      <c r="H32" s="3" t="s">
        <v>43</v>
      </c>
      <c r="I32" s="9">
        <v>320.45999999999998</v>
      </c>
      <c r="J32" s="3">
        <v>1</v>
      </c>
      <c r="K32" s="10">
        <f>SUM(J32*I32)</f>
        <v>320.45999999999998</v>
      </c>
      <c r="L32" s="10">
        <f>SUM(E32-K32)</f>
        <v>7370.58</v>
      </c>
      <c r="M32" s="3">
        <v>640.91999999999996</v>
      </c>
      <c r="N32" s="10">
        <v>10</v>
      </c>
      <c r="O32" s="10">
        <f>SUM(M32*N32)</f>
        <v>6409.2</v>
      </c>
      <c r="P32" s="9">
        <f>SUM(L32-O32)</f>
        <v>961.38000000000011</v>
      </c>
      <c r="Q32" s="49">
        <v>42826</v>
      </c>
      <c r="R32" s="3"/>
      <c r="S32" s="10">
        <f>SUM(L32-O32)</f>
        <v>961.38000000000011</v>
      </c>
      <c r="T32" s="51" t="s">
        <v>31</v>
      </c>
      <c r="U32" s="3"/>
      <c r="V32" s="3"/>
    </row>
    <row r="33" spans="1:22" x14ac:dyDescent="0.25">
      <c r="A33" s="3"/>
      <c r="B33" s="52"/>
      <c r="C33" s="52"/>
      <c r="D33" s="52"/>
      <c r="E33" s="52"/>
      <c r="F33" s="53"/>
      <c r="G33" s="69"/>
      <c r="H33" s="52"/>
      <c r="I33" s="54"/>
      <c r="J33" s="52"/>
      <c r="K33" s="52"/>
      <c r="L33" s="54"/>
      <c r="M33" s="52"/>
      <c r="N33" s="52"/>
      <c r="O33" s="52"/>
      <c r="P33" s="54"/>
      <c r="Q33" s="55"/>
      <c r="R33" s="52"/>
      <c r="S33" s="3"/>
      <c r="T33" s="3"/>
      <c r="U33" s="3"/>
      <c r="V33" s="3"/>
    </row>
    <row r="34" spans="1:22" x14ac:dyDescent="0.25">
      <c r="A34" s="3"/>
      <c r="B34" s="26"/>
      <c r="C34" s="56" t="s">
        <v>42</v>
      </c>
      <c r="D34" s="56"/>
      <c r="E34" s="26"/>
      <c r="F34" s="58"/>
      <c r="G34" s="70"/>
      <c r="H34" s="26"/>
      <c r="I34" s="48"/>
      <c r="J34" s="26"/>
      <c r="K34" s="26"/>
      <c r="L34" s="48"/>
      <c r="M34" s="26"/>
      <c r="N34" s="26"/>
      <c r="O34" s="26"/>
      <c r="P34" s="54"/>
      <c r="Q34" s="55"/>
      <c r="R34" s="52"/>
      <c r="S34" s="3"/>
      <c r="T34" s="3"/>
      <c r="U34" s="3"/>
      <c r="V34" s="3"/>
    </row>
    <row r="35" spans="1:22" x14ac:dyDescent="0.25">
      <c r="A35" s="3">
        <v>2</v>
      </c>
      <c r="B35" s="3" t="s">
        <v>27</v>
      </c>
      <c r="C35" s="3" t="s">
        <v>11</v>
      </c>
      <c r="D35" s="3"/>
      <c r="E35" s="9">
        <v>13381.2</v>
      </c>
      <c r="F35" s="46">
        <v>42887</v>
      </c>
      <c r="G35" s="67" t="s">
        <v>37</v>
      </c>
      <c r="H35" s="3">
        <v>0</v>
      </c>
      <c r="I35" s="3">
        <v>557.54999999999995</v>
      </c>
      <c r="J35" s="3">
        <v>0</v>
      </c>
      <c r="K35" s="10">
        <f>SUM(J35*I35)</f>
        <v>0</v>
      </c>
      <c r="L35" s="10">
        <f>SUM(E35-K35)</f>
        <v>13381.2</v>
      </c>
      <c r="M35" s="3">
        <v>0</v>
      </c>
      <c r="N35" s="3">
        <v>0</v>
      </c>
      <c r="O35" s="10">
        <f>SUM(M35*N35)</f>
        <v>0</v>
      </c>
      <c r="P35" s="9">
        <f>SUM(L35-O35)</f>
        <v>13381.2</v>
      </c>
      <c r="Q35" s="3" t="s">
        <v>37</v>
      </c>
      <c r="R35" s="3"/>
      <c r="S35" s="10">
        <f>SUM(L35-O35)</f>
        <v>13381.2</v>
      </c>
      <c r="T35" s="3"/>
      <c r="U35" s="3"/>
      <c r="V35" s="3"/>
    </row>
    <row r="36" spans="1:22" x14ac:dyDescent="0.25">
      <c r="A36" s="3"/>
      <c r="B36" s="3"/>
      <c r="C36" s="3"/>
      <c r="D36" s="3"/>
      <c r="E36" s="3"/>
      <c r="F36" s="3"/>
      <c r="G36" s="67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3"/>
      <c r="B37" s="3" t="s">
        <v>26</v>
      </c>
      <c r="C37" s="3" t="s">
        <v>18</v>
      </c>
      <c r="D37" s="3"/>
      <c r="E37" s="3" t="s">
        <v>19</v>
      </c>
      <c r="F37" s="3"/>
      <c r="G37" s="67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3"/>
      <c r="B38" s="3"/>
      <c r="C38" s="3"/>
      <c r="D38" s="3"/>
      <c r="E38" s="3"/>
      <c r="F38" s="3"/>
      <c r="G38" s="67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3"/>
      <c r="B39" s="15"/>
      <c r="C39" s="15"/>
      <c r="D39" s="15"/>
      <c r="E39" s="15"/>
      <c r="F39" s="15"/>
      <c r="G39" s="65"/>
      <c r="H39" s="15"/>
      <c r="I39" s="15"/>
      <c r="J39" s="15"/>
      <c r="K39" s="15"/>
      <c r="L39" s="15"/>
      <c r="M39" s="15"/>
      <c r="N39" s="15"/>
      <c r="O39" s="15" t="s">
        <v>23</v>
      </c>
      <c r="P39" s="15"/>
      <c r="Q39" s="15" t="s">
        <v>2</v>
      </c>
      <c r="R39" s="15"/>
      <c r="S39" s="15"/>
      <c r="T39" s="3"/>
      <c r="U39" s="3"/>
      <c r="V39" s="3"/>
    </row>
    <row r="40" spans="1:22" x14ac:dyDescent="0.25">
      <c r="A40" s="3"/>
      <c r="B40" s="15"/>
      <c r="C40" s="15" t="s">
        <v>16</v>
      </c>
      <c r="D40" s="15"/>
      <c r="E40" s="15" t="s">
        <v>29</v>
      </c>
      <c r="F40" s="15" t="s">
        <v>3</v>
      </c>
      <c r="G40" s="65"/>
      <c r="H40" s="15" t="s">
        <v>4</v>
      </c>
      <c r="I40" s="15" t="s">
        <v>5</v>
      </c>
      <c r="J40" s="15" t="s">
        <v>6</v>
      </c>
      <c r="K40" s="15"/>
      <c r="L40" s="15"/>
      <c r="M40" s="15"/>
      <c r="N40" s="15"/>
      <c r="O40" s="15" t="s">
        <v>22</v>
      </c>
      <c r="P40" s="15" t="s">
        <v>7</v>
      </c>
      <c r="Q40" s="15" t="s">
        <v>30</v>
      </c>
      <c r="R40" s="15"/>
      <c r="S40" s="15" t="s">
        <v>7</v>
      </c>
      <c r="T40" s="3"/>
      <c r="U40" s="3"/>
      <c r="V40" s="3"/>
    </row>
    <row r="41" spans="1:22" x14ac:dyDescent="0.25">
      <c r="A41" s="3"/>
      <c r="B41" s="15"/>
      <c r="C41" s="15"/>
      <c r="D41" s="15"/>
      <c r="E41" s="15"/>
      <c r="F41" s="15"/>
      <c r="G41" s="65"/>
      <c r="H41" s="15" t="s">
        <v>15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3"/>
      <c r="U41" s="3"/>
      <c r="V41" s="3"/>
    </row>
    <row r="42" spans="1:22" x14ac:dyDescent="0.25">
      <c r="A42" s="3"/>
      <c r="B42" s="3">
        <v>602515</v>
      </c>
      <c r="C42" s="3" t="s">
        <v>20</v>
      </c>
      <c r="D42" s="3"/>
      <c r="E42" s="3" t="s">
        <v>44</v>
      </c>
      <c r="F42" s="46" t="s">
        <v>2</v>
      </c>
      <c r="G42" s="66"/>
      <c r="H42" s="3"/>
      <c r="I42" s="3" t="s">
        <v>2</v>
      </c>
      <c r="J42" s="3" t="s">
        <v>2</v>
      </c>
      <c r="K42" s="3"/>
      <c r="L42" s="3"/>
      <c r="M42" s="3"/>
      <c r="N42" s="3"/>
      <c r="O42" s="3">
        <v>0</v>
      </c>
      <c r="P42" s="9">
        <v>0</v>
      </c>
      <c r="Q42" s="3"/>
      <c r="R42" s="3"/>
      <c r="S42" s="10">
        <f>SUM(P42:Q42)</f>
        <v>0</v>
      </c>
      <c r="T42" s="3"/>
      <c r="U42" s="3"/>
      <c r="V42" s="3"/>
    </row>
    <row r="43" spans="1:22" x14ac:dyDescent="0.25">
      <c r="A43" s="3"/>
      <c r="B43" s="3"/>
      <c r="C43" s="3"/>
      <c r="D43" s="3"/>
      <c r="E43" s="3"/>
      <c r="F43" s="3"/>
      <c r="G43" s="67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x14ac:dyDescent="0.25">
      <c r="A44" s="3"/>
      <c r="B44" s="3"/>
      <c r="C44" s="3"/>
      <c r="D44" s="3"/>
      <c r="E44" s="3"/>
      <c r="F44" s="3"/>
      <c r="G44" s="67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x14ac:dyDescent="0.25">
      <c r="A45" s="3"/>
      <c r="B45" s="15"/>
      <c r="C45" s="15"/>
      <c r="D45" s="15"/>
      <c r="E45" s="15"/>
      <c r="F45" s="15"/>
      <c r="G45" s="65"/>
      <c r="H45" s="15"/>
      <c r="I45" s="15"/>
      <c r="J45" s="15"/>
      <c r="K45" s="15"/>
      <c r="L45" s="15"/>
      <c r="M45" s="15"/>
      <c r="N45" s="15"/>
      <c r="O45" s="15" t="s">
        <v>23</v>
      </c>
      <c r="P45" s="15"/>
      <c r="Q45" s="15" t="s">
        <v>2</v>
      </c>
      <c r="R45" s="15"/>
      <c r="S45" s="15"/>
      <c r="T45" s="3"/>
      <c r="U45" s="3"/>
      <c r="V45" s="3"/>
    </row>
    <row r="46" spans="1:22" x14ac:dyDescent="0.25">
      <c r="A46" s="3"/>
      <c r="B46" s="15"/>
      <c r="C46" s="15" t="s">
        <v>16</v>
      </c>
      <c r="D46" s="15"/>
      <c r="E46" s="15" t="s">
        <v>29</v>
      </c>
      <c r="F46" s="15" t="s">
        <v>3</v>
      </c>
      <c r="G46" s="65"/>
      <c r="H46" s="15" t="s">
        <v>4</v>
      </c>
      <c r="I46" s="15" t="s">
        <v>5</v>
      </c>
      <c r="J46" s="15" t="s">
        <v>6</v>
      </c>
      <c r="K46" s="15"/>
      <c r="L46" s="15"/>
      <c r="M46" s="15"/>
      <c r="N46" s="15"/>
      <c r="O46" s="15" t="s">
        <v>22</v>
      </c>
      <c r="P46" s="15" t="s">
        <v>7</v>
      </c>
      <c r="Q46" s="15" t="s">
        <v>30</v>
      </c>
      <c r="R46" s="15"/>
      <c r="S46" s="15" t="s">
        <v>7</v>
      </c>
      <c r="T46" s="3"/>
      <c r="U46" s="3"/>
      <c r="V46" s="3"/>
    </row>
    <row r="47" spans="1:22" x14ac:dyDescent="0.25">
      <c r="A47" s="3"/>
      <c r="B47" s="15"/>
      <c r="C47" s="15"/>
      <c r="D47" s="15"/>
      <c r="E47" s="15"/>
      <c r="F47" s="15"/>
      <c r="G47" s="65"/>
      <c r="H47" s="15" t="s">
        <v>15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3"/>
      <c r="U47" s="3"/>
      <c r="V47" s="3"/>
    </row>
    <row r="48" spans="1:22" x14ac:dyDescent="0.25">
      <c r="A48" s="3"/>
      <c r="B48" s="3">
        <v>602957</v>
      </c>
      <c r="C48" s="3" t="s">
        <v>25</v>
      </c>
      <c r="D48" s="3"/>
      <c r="E48" s="3">
        <v>58124.160000000003</v>
      </c>
      <c r="F48" s="46">
        <v>42644</v>
      </c>
      <c r="G48" s="66"/>
      <c r="H48" s="3"/>
      <c r="I48" s="3">
        <v>1292.06</v>
      </c>
      <c r="J48" s="3">
        <v>6</v>
      </c>
      <c r="K48" s="3">
        <f>SUM(I48*J48)</f>
        <v>7752.36</v>
      </c>
      <c r="L48" s="10">
        <f>SUM(E48-K48)</f>
        <v>50371.8</v>
      </c>
      <c r="M48" s="3"/>
      <c r="N48" s="3"/>
      <c r="O48" s="3">
        <f>SUM(J48*I48)</f>
        <v>7752.36</v>
      </c>
      <c r="P48" s="9">
        <f>SUM(E48-O48)</f>
        <v>50371.8</v>
      </c>
      <c r="Q48" s="3"/>
      <c r="R48" s="3"/>
      <c r="S48" s="10">
        <f>SUM(P48:Q48)</f>
        <v>50371.8</v>
      </c>
      <c r="T48" s="3"/>
      <c r="U48" s="3"/>
      <c r="V48" s="3"/>
    </row>
    <row r="49" spans="7:7" x14ac:dyDescent="0.25">
      <c r="G49" s="71"/>
    </row>
    <row r="50" spans="7:7" x14ac:dyDescent="0.25">
      <c r="G50" s="71"/>
    </row>
    <row r="51" spans="7:7" x14ac:dyDescent="0.25">
      <c r="G51" s="71"/>
    </row>
    <row r="52" spans="7:7" x14ac:dyDescent="0.25">
      <c r="G52" s="71"/>
    </row>
    <row r="53" spans="7:7" x14ac:dyDescent="0.25">
      <c r="G53" s="71"/>
    </row>
    <row r="54" spans="7:7" x14ac:dyDescent="0.25">
      <c r="G54" s="71"/>
    </row>
    <row r="55" spans="7:7" x14ac:dyDescent="0.25">
      <c r="G55" s="71"/>
    </row>
    <row r="56" spans="7:7" x14ac:dyDescent="0.25">
      <c r="G56" s="71"/>
    </row>
    <row r="57" spans="7:7" x14ac:dyDescent="0.25">
      <c r="G57" s="71"/>
    </row>
    <row r="58" spans="7:7" x14ac:dyDescent="0.25">
      <c r="G58" s="71"/>
    </row>
    <row r="59" spans="7:7" x14ac:dyDescent="0.25">
      <c r="G59" s="71"/>
    </row>
    <row r="60" spans="7:7" x14ac:dyDescent="0.25">
      <c r="G60" s="71"/>
    </row>
    <row r="61" spans="7:7" x14ac:dyDescent="0.25">
      <c r="G61" s="71"/>
    </row>
    <row r="62" spans="7:7" x14ac:dyDescent="0.25">
      <c r="G62" s="71"/>
    </row>
    <row r="63" spans="7:7" x14ac:dyDescent="0.25">
      <c r="G63" s="71"/>
    </row>
    <row r="64" spans="7:7" x14ac:dyDescent="0.25">
      <c r="G64" s="71"/>
    </row>
    <row r="65" spans="7:7" x14ac:dyDescent="0.25">
      <c r="G65" s="71"/>
    </row>
    <row r="66" spans="7:7" x14ac:dyDescent="0.25">
      <c r="G66" s="71"/>
    </row>
    <row r="67" spans="7:7" x14ac:dyDescent="0.25">
      <c r="G67" s="71"/>
    </row>
    <row r="68" spans="7:7" x14ac:dyDescent="0.25">
      <c r="G68" s="71"/>
    </row>
    <row r="69" spans="7:7" x14ac:dyDescent="0.25">
      <c r="G69" s="71"/>
    </row>
    <row r="70" spans="7:7" x14ac:dyDescent="0.25">
      <c r="G70" s="71"/>
    </row>
    <row r="71" spans="7:7" x14ac:dyDescent="0.25">
      <c r="G71" s="71"/>
    </row>
    <row r="72" spans="7:7" x14ac:dyDescent="0.25">
      <c r="G72" s="71"/>
    </row>
    <row r="73" spans="7:7" x14ac:dyDescent="0.25">
      <c r="G73" s="71"/>
    </row>
    <row r="74" spans="7:7" x14ac:dyDescent="0.25">
      <c r="G74" s="71"/>
    </row>
    <row r="75" spans="7:7" x14ac:dyDescent="0.25">
      <c r="G75" s="71"/>
    </row>
    <row r="76" spans="7:7" x14ac:dyDescent="0.25">
      <c r="G76" s="71"/>
    </row>
    <row r="77" spans="7:7" x14ac:dyDescent="0.25">
      <c r="G77" s="71"/>
    </row>
    <row r="78" spans="7:7" x14ac:dyDescent="0.25">
      <c r="G78" s="71"/>
    </row>
    <row r="79" spans="7:7" x14ac:dyDescent="0.25">
      <c r="G79" s="71"/>
    </row>
    <row r="80" spans="7:7" x14ac:dyDescent="0.25">
      <c r="G80" s="71"/>
    </row>
    <row r="81" spans="7:7" x14ac:dyDescent="0.25">
      <c r="G81" s="71"/>
    </row>
    <row r="82" spans="7:7" x14ac:dyDescent="0.25">
      <c r="G82" s="71"/>
    </row>
    <row r="83" spans="7:7" x14ac:dyDescent="0.25">
      <c r="G83" s="71"/>
    </row>
    <row r="84" spans="7:7" x14ac:dyDescent="0.25">
      <c r="G84" s="71"/>
    </row>
    <row r="85" spans="7:7" x14ac:dyDescent="0.25">
      <c r="G85" s="71"/>
    </row>
    <row r="86" spans="7:7" x14ac:dyDescent="0.25">
      <c r="G86" s="71"/>
    </row>
    <row r="87" spans="7:7" x14ac:dyDescent="0.25">
      <c r="G87" s="71"/>
    </row>
    <row r="88" spans="7:7" x14ac:dyDescent="0.25">
      <c r="G88" s="71"/>
    </row>
    <row r="89" spans="7:7" x14ac:dyDescent="0.25">
      <c r="G89" s="71"/>
    </row>
    <row r="90" spans="7:7" x14ac:dyDescent="0.25">
      <c r="G90" s="71"/>
    </row>
    <row r="91" spans="7:7" x14ac:dyDescent="0.25">
      <c r="G91" s="71"/>
    </row>
    <row r="92" spans="7:7" x14ac:dyDescent="0.25">
      <c r="G92" s="71"/>
    </row>
    <row r="93" spans="7:7" x14ac:dyDescent="0.25">
      <c r="G93" s="71"/>
    </row>
    <row r="94" spans="7:7" x14ac:dyDescent="0.25">
      <c r="G94" s="71"/>
    </row>
    <row r="95" spans="7:7" x14ac:dyDescent="0.25">
      <c r="G95" s="71"/>
    </row>
    <row r="96" spans="7:7" x14ac:dyDescent="0.25">
      <c r="G96" s="71"/>
    </row>
    <row r="97" spans="7:7" x14ac:dyDescent="0.25">
      <c r="G97" s="71"/>
    </row>
    <row r="98" spans="7:7" x14ac:dyDescent="0.25">
      <c r="G98" s="71"/>
    </row>
    <row r="99" spans="7:7" x14ac:dyDescent="0.25">
      <c r="G99" s="71"/>
    </row>
    <row r="100" spans="7:7" x14ac:dyDescent="0.25">
      <c r="G100" s="71"/>
    </row>
    <row r="101" spans="7:7" x14ac:dyDescent="0.25">
      <c r="G101" s="71"/>
    </row>
    <row r="102" spans="7:7" x14ac:dyDescent="0.25">
      <c r="G102" s="71"/>
    </row>
    <row r="103" spans="7:7" x14ac:dyDescent="0.25">
      <c r="G103" s="71"/>
    </row>
    <row r="104" spans="7:7" x14ac:dyDescent="0.25">
      <c r="G104" s="71"/>
    </row>
    <row r="105" spans="7:7" x14ac:dyDescent="0.25">
      <c r="G105" s="71"/>
    </row>
    <row r="106" spans="7:7" x14ac:dyDescent="0.25">
      <c r="G106" s="71"/>
    </row>
    <row r="107" spans="7:7" x14ac:dyDescent="0.25">
      <c r="G107" s="71"/>
    </row>
    <row r="108" spans="7:7" x14ac:dyDescent="0.25">
      <c r="G108" s="71"/>
    </row>
    <row r="109" spans="7:7" x14ac:dyDescent="0.25">
      <c r="G109" s="71"/>
    </row>
    <row r="110" spans="7:7" x14ac:dyDescent="0.25">
      <c r="G110" s="71"/>
    </row>
    <row r="111" spans="7:7" x14ac:dyDescent="0.25">
      <c r="G111" s="71"/>
    </row>
    <row r="112" spans="7:7" x14ac:dyDescent="0.25">
      <c r="G112" s="71"/>
    </row>
    <row r="113" spans="7:7" x14ac:dyDescent="0.25">
      <c r="G113" s="71"/>
    </row>
    <row r="114" spans="7:7" x14ac:dyDescent="0.25">
      <c r="G114" s="71"/>
    </row>
    <row r="115" spans="7:7" x14ac:dyDescent="0.25">
      <c r="G115" s="71"/>
    </row>
    <row r="116" spans="7:7" x14ac:dyDescent="0.25">
      <c r="G116" s="71"/>
    </row>
    <row r="117" spans="7:7" x14ac:dyDescent="0.25">
      <c r="G117" s="71"/>
    </row>
    <row r="118" spans="7:7" x14ac:dyDescent="0.25">
      <c r="G118" s="71"/>
    </row>
    <row r="119" spans="7:7" x14ac:dyDescent="0.25">
      <c r="G119" s="71"/>
    </row>
    <row r="120" spans="7:7" x14ac:dyDescent="0.25">
      <c r="G120" s="71"/>
    </row>
    <row r="121" spans="7:7" x14ac:dyDescent="0.25">
      <c r="G121" s="71"/>
    </row>
    <row r="122" spans="7:7" x14ac:dyDescent="0.25">
      <c r="G122" s="71"/>
    </row>
    <row r="123" spans="7:7" x14ac:dyDescent="0.25">
      <c r="G123" s="71"/>
    </row>
    <row r="124" spans="7:7" x14ac:dyDescent="0.25">
      <c r="G124" s="71"/>
    </row>
    <row r="125" spans="7:7" x14ac:dyDescent="0.25">
      <c r="G125" s="71"/>
    </row>
    <row r="126" spans="7:7" x14ac:dyDescent="0.25">
      <c r="G126" s="71"/>
    </row>
    <row r="127" spans="7:7" x14ac:dyDescent="0.25">
      <c r="G127" s="71"/>
    </row>
    <row r="128" spans="7:7" x14ac:dyDescent="0.25">
      <c r="G128" s="71"/>
    </row>
    <row r="129" spans="7:7" x14ac:dyDescent="0.25">
      <c r="G129" s="71"/>
    </row>
    <row r="130" spans="7:7" x14ac:dyDescent="0.25">
      <c r="G130" s="71"/>
    </row>
    <row r="131" spans="7:7" x14ac:dyDescent="0.25">
      <c r="G131" s="71"/>
    </row>
    <row r="132" spans="7:7" x14ac:dyDescent="0.25">
      <c r="G132" s="71"/>
    </row>
    <row r="133" spans="7:7" x14ac:dyDescent="0.25">
      <c r="G133" s="71"/>
    </row>
    <row r="134" spans="7:7" x14ac:dyDescent="0.25">
      <c r="G134" s="71"/>
    </row>
    <row r="135" spans="7:7" x14ac:dyDescent="0.25">
      <c r="G135" s="71"/>
    </row>
    <row r="136" spans="7:7" x14ac:dyDescent="0.25">
      <c r="G136" s="71"/>
    </row>
    <row r="137" spans="7:7" x14ac:dyDescent="0.25">
      <c r="G137" s="71"/>
    </row>
    <row r="138" spans="7:7" x14ac:dyDescent="0.25">
      <c r="G138" s="71"/>
    </row>
    <row r="139" spans="7:7" x14ac:dyDescent="0.25">
      <c r="G139" s="71"/>
    </row>
    <row r="140" spans="7:7" x14ac:dyDescent="0.25">
      <c r="G140" s="71"/>
    </row>
    <row r="141" spans="7:7" x14ac:dyDescent="0.25">
      <c r="G141" s="71"/>
    </row>
    <row r="142" spans="7:7" x14ac:dyDescent="0.25">
      <c r="G142" s="71"/>
    </row>
    <row r="143" spans="7:7" x14ac:dyDescent="0.25">
      <c r="G143" s="71"/>
    </row>
  </sheetData>
  <pageMargins left="0.2" right="1.2" top="0.25" bottom="0.25" header="0.3" footer="0.3"/>
  <pageSetup paperSize="5" scale="85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1"/>
  <sheetViews>
    <sheetView topLeftCell="G1" workbookViewId="0">
      <selection activeCell="N5" sqref="N5"/>
    </sheetView>
  </sheetViews>
  <sheetFormatPr defaultRowHeight="15" x14ac:dyDescent="0.25"/>
  <cols>
    <col min="1" max="1" width="5.140625" customWidth="1"/>
    <col min="3" max="3" width="16.5703125" customWidth="1"/>
    <col min="4" max="4" width="9.140625" hidden="1" customWidth="1"/>
    <col min="5" max="5" width="23" customWidth="1"/>
    <col min="6" max="6" width="25.5703125" customWidth="1"/>
    <col min="9" max="9" width="9.5703125" bestFit="1" customWidth="1"/>
    <col min="10" max="10" width="14.42578125" customWidth="1"/>
    <col min="11" max="11" width="12.7109375" customWidth="1"/>
    <col min="12" max="12" width="13.85546875" customWidth="1"/>
    <col min="13" max="13" width="14.5703125" customWidth="1"/>
    <col min="14" max="14" width="12.42578125" customWidth="1"/>
    <col min="15" max="15" width="12.85546875" customWidth="1"/>
    <col min="16" max="16" width="12" customWidth="1"/>
    <col min="17" max="17" width="14.28515625" customWidth="1"/>
    <col min="18" max="18" width="12" customWidth="1"/>
    <col min="19" max="19" width="10.85546875" customWidth="1"/>
    <col min="20" max="20" width="12.5703125" customWidth="1"/>
    <col min="21" max="21" width="13" customWidth="1"/>
  </cols>
  <sheetData>
    <row r="2" spans="1:22" ht="31.5" x14ac:dyDescent="0.5">
      <c r="A2" s="3"/>
      <c r="B2" s="3"/>
      <c r="C2" s="3"/>
      <c r="D2" s="3"/>
      <c r="E2" s="3"/>
      <c r="F2" s="3"/>
      <c r="G2" s="3"/>
      <c r="H2" s="3"/>
      <c r="I2" s="3"/>
      <c r="J2" s="4" t="s">
        <v>45</v>
      </c>
      <c r="K2" s="4"/>
      <c r="L2" s="4"/>
      <c r="M2" s="3"/>
      <c r="N2" s="3"/>
      <c r="O2" s="3"/>
      <c r="P2" s="3"/>
      <c r="Q2" s="3"/>
      <c r="R2" s="3"/>
      <c r="S2" s="3"/>
      <c r="T2" s="3"/>
      <c r="U2" s="3"/>
    </row>
    <row r="3" spans="1:22" ht="30" x14ac:dyDescent="0.25">
      <c r="A3" s="3"/>
      <c r="B3" s="3"/>
      <c r="C3" s="3"/>
      <c r="D3" s="3"/>
      <c r="E3" s="3" t="s">
        <v>57</v>
      </c>
      <c r="F3" s="3" t="s">
        <v>61</v>
      </c>
      <c r="G3" s="3" t="s">
        <v>46</v>
      </c>
      <c r="H3" s="3" t="s">
        <v>53</v>
      </c>
      <c r="I3" s="3"/>
      <c r="J3" s="5" t="s">
        <v>54</v>
      </c>
      <c r="K3" s="5" t="s">
        <v>49</v>
      </c>
      <c r="L3" s="5" t="s">
        <v>63</v>
      </c>
      <c r="M3" s="5" t="s">
        <v>50</v>
      </c>
      <c r="N3" s="5" t="s">
        <v>64</v>
      </c>
      <c r="O3" s="5" t="s">
        <v>51</v>
      </c>
      <c r="P3" s="5" t="s">
        <v>65</v>
      </c>
      <c r="Q3" s="5" t="s">
        <v>52</v>
      </c>
      <c r="R3" s="5" t="s">
        <v>73</v>
      </c>
      <c r="S3" s="5" t="s">
        <v>74</v>
      </c>
      <c r="T3" s="5" t="s">
        <v>21</v>
      </c>
      <c r="U3" s="5" t="s">
        <v>9</v>
      </c>
    </row>
    <row r="4" spans="1:22" x14ac:dyDescent="0.25">
      <c r="A4" s="3"/>
      <c r="B4" s="3"/>
      <c r="C4" s="3"/>
      <c r="D4" s="3"/>
      <c r="E4" s="3"/>
      <c r="F4" s="3"/>
      <c r="G4" s="3"/>
      <c r="H4" s="3" t="s">
        <v>48</v>
      </c>
      <c r="I4" s="3" t="s">
        <v>56</v>
      </c>
      <c r="J4" s="3" t="s">
        <v>2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2" x14ac:dyDescent="0.25">
      <c r="A5" s="3">
        <v>1</v>
      </c>
      <c r="B5" s="3">
        <v>601012</v>
      </c>
      <c r="C5" s="3" t="s">
        <v>12</v>
      </c>
      <c r="D5" s="3"/>
      <c r="E5" s="3" t="s">
        <v>58</v>
      </c>
      <c r="F5" s="3" t="s">
        <v>62</v>
      </c>
      <c r="G5" s="6">
        <v>42768</v>
      </c>
      <c r="H5" s="7" t="s">
        <v>47</v>
      </c>
      <c r="I5" s="8">
        <v>4000</v>
      </c>
      <c r="J5" s="3" t="s">
        <v>69</v>
      </c>
      <c r="K5" s="9">
        <v>1326</v>
      </c>
      <c r="L5" s="3" t="s">
        <v>70</v>
      </c>
      <c r="M5" s="9">
        <v>1326</v>
      </c>
      <c r="N5" s="3" t="s">
        <v>71</v>
      </c>
      <c r="O5" s="9">
        <v>1326</v>
      </c>
      <c r="P5" s="3" t="s">
        <v>72</v>
      </c>
      <c r="Q5" s="9">
        <v>1326</v>
      </c>
      <c r="R5" s="3" t="s">
        <v>75</v>
      </c>
      <c r="S5" s="3">
        <v>22</v>
      </c>
      <c r="T5" s="10">
        <f>SUM(K5+M5+O5+Q5+S5)</f>
        <v>5326</v>
      </c>
      <c r="U5" s="10">
        <f>SUM(I5-T5)</f>
        <v>-1326</v>
      </c>
    </row>
    <row r="6" spans="1:22" x14ac:dyDescent="0.25">
      <c r="A6" s="3"/>
      <c r="B6" s="3"/>
      <c r="C6" s="3"/>
      <c r="D6" s="3"/>
      <c r="E6" s="3" t="s">
        <v>59</v>
      </c>
      <c r="F6" s="3" t="s">
        <v>2</v>
      </c>
      <c r="G6" s="3"/>
      <c r="H6" s="3"/>
      <c r="I6" s="9"/>
      <c r="J6" s="3"/>
      <c r="K6" s="9"/>
      <c r="L6" s="3"/>
      <c r="M6" s="9"/>
      <c r="N6" s="3"/>
      <c r="O6" s="9"/>
      <c r="P6" s="3"/>
      <c r="Q6" s="9"/>
      <c r="R6" s="3"/>
      <c r="S6" s="3"/>
      <c r="T6" s="3"/>
      <c r="U6" s="3" t="s">
        <v>2</v>
      </c>
    </row>
    <row r="7" spans="1:22" ht="30" x14ac:dyDescent="0.25">
      <c r="A7" s="3"/>
      <c r="B7" s="3"/>
      <c r="C7" s="3"/>
      <c r="D7" s="3"/>
      <c r="E7" s="3"/>
      <c r="F7" s="3" t="s">
        <v>61</v>
      </c>
      <c r="G7" s="3" t="s">
        <v>46</v>
      </c>
      <c r="H7" s="3" t="s">
        <v>53</v>
      </c>
      <c r="I7" s="3"/>
      <c r="J7" s="5" t="s">
        <v>54</v>
      </c>
      <c r="K7" s="5" t="s">
        <v>49</v>
      </c>
      <c r="L7" s="5" t="s">
        <v>63</v>
      </c>
      <c r="M7" s="5" t="s">
        <v>50</v>
      </c>
      <c r="N7" s="5" t="s">
        <v>64</v>
      </c>
      <c r="O7" s="5" t="s">
        <v>51</v>
      </c>
      <c r="P7" s="5" t="s">
        <v>65</v>
      </c>
      <c r="Q7" s="5" t="s">
        <v>52</v>
      </c>
      <c r="R7" s="5" t="s">
        <v>73</v>
      </c>
      <c r="S7" s="5" t="s">
        <v>74</v>
      </c>
      <c r="T7" s="5" t="s">
        <v>21</v>
      </c>
      <c r="U7" s="5" t="s">
        <v>2</v>
      </c>
    </row>
    <row r="8" spans="1:22" x14ac:dyDescent="0.25">
      <c r="A8" s="3"/>
      <c r="B8" s="3"/>
      <c r="C8" s="3"/>
      <c r="D8" s="3"/>
      <c r="E8" s="3"/>
      <c r="F8" s="3"/>
      <c r="G8" s="3"/>
      <c r="H8" s="3" t="s">
        <v>48</v>
      </c>
      <c r="I8" s="3" t="s">
        <v>56</v>
      </c>
      <c r="J8" s="3" t="s">
        <v>2</v>
      </c>
      <c r="K8" s="3"/>
      <c r="L8" s="3"/>
      <c r="M8" s="3"/>
      <c r="N8" s="3"/>
      <c r="O8" s="3"/>
      <c r="P8" s="3"/>
      <c r="Q8" s="3"/>
      <c r="R8" s="3"/>
      <c r="S8" s="3"/>
      <c r="T8" s="3"/>
      <c r="U8" s="3" t="s">
        <v>2</v>
      </c>
    </row>
    <row r="9" spans="1:22" x14ac:dyDescent="0.25">
      <c r="A9" s="3"/>
      <c r="B9" s="3"/>
      <c r="C9" s="3"/>
      <c r="D9" s="3"/>
      <c r="E9" s="3"/>
      <c r="F9" s="3"/>
      <c r="G9" s="3"/>
      <c r="H9" s="3"/>
      <c r="I9" s="9"/>
      <c r="J9" s="3"/>
      <c r="K9" s="9"/>
      <c r="L9" s="3"/>
      <c r="M9" s="9"/>
      <c r="N9" s="3"/>
      <c r="O9" s="9"/>
      <c r="P9" s="3"/>
      <c r="Q9" s="9"/>
      <c r="R9" s="3"/>
      <c r="S9" s="3"/>
      <c r="T9" s="3"/>
      <c r="U9" s="3"/>
    </row>
    <row r="10" spans="1:22" x14ac:dyDescent="0.25">
      <c r="A10" s="3">
        <v>2</v>
      </c>
      <c r="B10" s="3" t="s">
        <v>28</v>
      </c>
      <c r="C10" s="3" t="s">
        <v>8</v>
      </c>
      <c r="D10" s="3"/>
      <c r="E10" s="3" t="s">
        <v>60</v>
      </c>
      <c r="F10" s="3" t="s">
        <v>62</v>
      </c>
      <c r="G10" s="6">
        <v>42753</v>
      </c>
      <c r="H10" s="7" t="s">
        <v>55</v>
      </c>
      <c r="I10" s="8">
        <v>5000</v>
      </c>
      <c r="J10" s="3" t="s">
        <v>67</v>
      </c>
      <c r="K10" s="9">
        <v>1326</v>
      </c>
      <c r="L10" s="3" t="s">
        <v>66</v>
      </c>
      <c r="M10" s="9">
        <v>1326</v>
      </c>
      <c r="N10" s="3" t="s">
        <v>69</v>
      </c>
      <c r="O10" s="9">
        <v>1022</v>
      </c>
      <c r="P10" s="11" t="s">
        <v>68</v>
      </c>
      <c r="Q10" s="12">
        <v>1326</v>
      </c>
      <c r="R10" s="10" t="s">
        <v>2</v>
      </c>
      <c r="S10" s="3">
        <v>0</v>
      </c>
      <c r="T10" s="10">
        <f>SUM(K10+M10+O10+Q10+S10)</f>
        <v>5000</v>
      </c>
      <c r="U10" s="10" t="s">
        <v>2</v>
      </c>
      <c r="V10" t="s">
        <v>2</v>
      </c>
    </row>
    <row r="11" spans="1:22" x14ac:dyDescent="0.25">
      <c r="I11" s="1"/>
    </row>
  </sheetData>
  <pageMargins left="0.2" right="0.2" top="0.75" bottom="0.75" header="0.3" footer="0.3"/>
  <pageSetup scale="75"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1"/>
  <sheetViews>
    <sheetView workbookViewId="0">
      <selection activeCell="C3" sqref="C3"/>
    </sheetView>
  </sheetViews>
  <sheetFormatPr defaultRowHeight="15" x14ac:dyDescent="0.25"/>
  <cols>
    <col min="2" max="2" width="14.140625" customWidth="1"/>
    <col min="3" max="3" width="26.140625" customWidth="1"/>
    <col min="4" max="4" width="23.28515625" customWidth="1"/>
    <col min="5" max="5" width="21" customWidth="1"/>
    <col min="6" max="6" width="16" customWidth="1"/>
    <col min="7" max="7" width="13" customWidth="1"/>
    <col min="8" max="8" width="11.85546875" customWidth="1"/>
    <col min="9" max="9" width="11.140625" customWidth="1"/>
    <col min="10" max="10" width="13.28515625" customWidth="1"/>
    <col min="11" max="11" width="17.140625" customWidth="1"/>
    <col min="12" max="13" width="10.5703125" bestFit="1" customWidth="1"/>
    <col min="14" max="14" width="13.5703125" customWidth="1"/>
  </cols>
  <sheetData>
    <row r="2" spans="2:15" ht="36" x14ac:dyDescent="0.55000000000000004">
      <c r="B2" s="3"/>
      <c r="C2" s="3"/>
      <c r="D2" s="45" t="s">
        <v>76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2:15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2:15" x14ac:dyDescent="0.25">
      <c r="B4" s="15"/>
      <c r="C4" s="15" t="s">
        <v>17</v>
      </c>
      <c r="D4" s="15"/>
      <c r="E4" s="15"/>
      <c r="F4" s="15"/>
      <c r="G4" s="15"/>
      <c r="H4" s="15"/>
      <c r="I4" s="15"/>
      <c r="J4" s="15" t="s">
        <v>2</v>
      </c>
      <c r="K4" s="15"/>
      <c r="L4" s="15" t="s">
        <v>2</v>
      </c>
      <c r="M4" s="15"/>
      <c r="N4" s="15"/>
    </row>
    <row r="5" spans="2:15" x14ac:dyDescent="0.25">
      <c r="B5" s="15"/>
      <c r="C5" s="15" t="s">
        <v>2</v>
      </c>
      <c r="D5" s="15" t="s">
        <v>21</v>
      </c>
      <c r="E5" s="18">
        <v>42748</v>
      </c>
      <c r="F5" s="18">
        <v>42765</v>
      </c>
      <c r="G5" s="18">
        <v>42780</v>
      </c>
      <c r="H5" s="18">
        <v>42793</v>
      </c>
      <c r="I5" s="18">
        <v>42806</v>
      </c>
      <c r="J5" s="72">
        <v>42821</v>
      </c>
      <c r="K5" s="72">
        <v>42837</v>
      </c>
      <c r="L5" s="72">
        <v>42852</v>
      </c>
      <c r="M5" s="72">
        <v>42867</v>
      </c>
      <c r="N5" s="72">
        <v>42885</v>
      </c>
      <c r="O5" t="s">
        <v>21</v>
      </c>
    </row>
    <row r="6" spans="2:15" x14ac:dyDescent="0.25">
      <c r="B6" s="3">
        <v>601004</v>
      </c>
      <c r="C6" s="3" t="s">
        <v>1</v>
      </c>
      <c r="D6" s="9">
        <v>13260</v>
      </c>
      <c r="E6" s="9">
        <v>1326</v>
      </c>
      <c r="F6" s="9">
        <v>1326</v>
      </c>
      <c r="G6" s="9">
        <v>1326</v>
      </c>
      <c r="H6" s="9">
        <v>1326</v>
      </c>
      <c r="I6" s="9">
        <v>1326</v>
      </c>
      <c r="J6" s="9">
        <v>1326</v>
      </c>
      <c r="K6" s="9">
        <v>1326</v>
      </c>
      <c r="L6" s="9">
        <v>1326</v>
      </c>
      <c r="M6" s="9">
        <v>1326</v>
      </c>
      <c r="N6" s="9">
        <f>SUM(D6-E6-F6-G6-H6-I6-J6-K6-L6-M6)</f>
        <v>1326</v>
      </c>
    </row>
    <row r="7" spans="2:15" x14ac:dyDescent="0.25">
      <c r="B7" s="3"/>
      <c r="C7" s="3"/>
      <c r="D7" s="9"/>
      <c r="E7" s="9" t="s">
        <v>2</v>
      </c>
      <c r="F7" s="9" t="s">
        <v>2</v>
      </c>
      <c r="G7" s="9" t="s">
        <v>2</v>
      </c>
      <c r="H7" s="9" t="s">
        <v>2</v>
      </c>
      <c r="I7" s="9" t="s">
        <v>2</v>
      </c>
      <c r="J7" s="9"/>
      <c r="K7" s="9" t="s">
        <v>2</v>
      </c>
      <c r="L7" s="9"/>
      <c r="M7" s="9"/>
      <c r="N7" s="9" t="s">
        <v>2</v>
      </c>
    </row>
    <row r="8" spans="2:15" x14ac:dyDescent="0.25">
      <c r="B8" s="3" t="s">
        <v>28</v>
      </c>
      <c r="C8" s="3" t="s">
        <v>8</v>
      </c>
      <c r="D8" s="9">
        <v>13260</v>
      </c>
      <c r="E8" s="9">
        <v>1326</v>
      </c>
      <c r="F8" s="9">
        <v>1326</v>
      </c>
      <c r="G8" s="9">
        <v>1326</v>
      </c>
      <c r="H8" s="9">
        <v>1326</v>
      </c>
      <c r="I8" s="9">
        <v>1326</v>
      </c>
      <c r="J8" s="9">
        <v>1326</v>
      </c>
      <c r="K8" s="9">
        <v>1326</v>
      </c>
      <c r="L8" s="9">
        <v>1326</v>
      </c>
      <c r="M8" s="9">
        <v>1326</v>
      </c>
      <c r="N8" s="9">
        <f>SUM(D8-E8-F8-G8-H8-I8-J8-K8-L8-M8)</f>
        <v>1326</v>
      </c>
    </row>
    <row r="9" spans="2:15" x14ac:dyDescent="0.25">
      <c r="B9" s="3"/>
      <c r="C9" s="3"/>
      <c r="D9" s="9"/>
      <c r="E9" s="9" t="s">
        <v>2</v>
      </c>
      <c r="F9" s="9"/>
      <c r="G9" s="9" t="s">
        <v>2</v>
      </c>
      <c r="H9" s="9" t="s">
        <v>2</v>
      </c>
      <c r="I9" s="9" t="s">
        <v>2</v>
      </c>
      <c r="J9" s="9" t="s">
        <v>2</v>
      </c>
      <c r="K9" s="9" t="s">
        <v>2</v>
      </c>
      <c r="L9" s="9"/>
      <c r="M9" s="9"/>
      <c r="N9" s="9"/>
    </row>
    <row r="10" spans="2:15" x14ac:dyDescent="0.25">
      <c r="B10" s="3">
        <v>601012</v>
      </c>
      <c r="C10" s="3" t="s">
        <v>12</v>
      </c>
      <c r="D10" s="9">
        <v>13260</v>
      </c>
      <c r="E10" s="9">
        <v>1326</v>
      </c>
      <c r="F10" s="9">
        <v>1326</v>
      </c>
      <c r="G10" s="9">
        <v>1326</v>
      </c>
      <c r="H10" s="9">
        <v>1326</v>
      </c>
      <c r="I10" s="9">
        <v>1326</v>
      </c>
      <c r="J10" s="9">
        <v>1326</v>
      </c>
      <c r="K10" s="9">
        <v>1326</v>
      </c>
      <c r="L10" s="9">
        <v>1326</v>
      </c>
      <c r="M10" s="9">
        <v>1326</v>
      </c>
      <c r="N10" s="9">
        <f>SUM(D10-E10-F10-G10-H10-I10-J10-K10-L10-M10)</f>
        <v>1326</v>
      </c>
    </row>
    <row r="11" spans="2:15" x14ac:dyDescent="0.25">
      <c r="B11" s="3"/>
      <c r="C11" s="3"/>
      <c r="D11" s="9"/>
      <c r="E11" s="9" t="s">
        <v>2</v>
      </c>
      <c r="F11" s="9" t="s">
        <v>2</v>
      </c>
      <c r="G11" s="9"/>
      <c r="H11" s="9" t="s">
        <v>2</v>
      </c>
      <c r="I11" s="9" t="s">
        <v>2</v>
      </c>
      <c r="J11" s="9" t="s">
        <v>2</v>
      </c>
      <c r="K11" s="9" t="s">
        <v>2</v>
      </c>
      <c r="L11" s="9"/>
      <c r="M11" s="9"/>
      <c r="N11" s="9"/>
    </row>
    <row r="12" spans="2:15" x14ac:dyDescent="0.25">
      <c r="B12" s="3" t="s">
        <v>27</v>
      </c>
      <c r="C12" s="3" t="s">
        <v>11</v>
      </c>
      <c r="D12" s="9">
        <v>13260</v>
      </c>
      <c r="E12" s="9">
        <v>1326</v>
      </c>
      <c r="F12" s="9">
        <v>1326</v>
      </c>
      <c r="G12" s="9">
        <v>1326</v>
      </c>
      <c r="H12" s="9">
        <v>1326</v>
      </c>
      <c r="I12" s="9">
        <v>1326</v>
      </c>
      <c r="J12" s="9">
        <v>1326</v>
      </c>
      <c r="K12" s="9">
        <v>1326</v>
      </c>
      <c r="L12" s="9">
        <v>1326</v>
      </c>
      <c r="M12" s="9">
        <v>1326</v>
      </c>
      <c r="N12" s="9">
        <f>SUM(D12-E12-F12-G12-H12-I12-J12-K12-L12-M12)</f>
        <v>1326</v>
      </c>
    </row>
    <row r="13" spans="2:15" x14ac:dyDescent="0.25">
      <c r="B13" s="3"/>
      <c r="C13" s="3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2:15" x14ac:dyDescent="0.25">
      <c r="B14" s="3" t="s">
        <v>26</v>
      </c>
      <c r="C14" s="3" t="s">
        <v>18</v>
      </c>
      <c r="D14" s="9">
        <v>9574.5</v>
      </c>
      <c r="E14" s="9">
        <v>963.95</v>
      </c>
      <c r="F14" s="9">
        <v>963.95</v>
      </c>
      <c r="G14" s="9">
        <v>963.95</v>
      </c>
      <c r="H14" s="9">
        <v>963.95</v>
      </c>
      <c r="I14" s="9">
        <v>963.95</v>
      </c>
      <c r="J14" s="9">
        <v>963.95</v>
      </c>
      <c r="K14" s="9">
        <v>963.95</v>
      </c>
      <c r="L14" s="9">
        <v>963.95</v>
      </c>
      <c r="M14" s="9">
        <v>963.95</v>
      </c>
      <c r="N14" s="9">
        <f>SUM(D14-E14-F14-G14-H14-I14-J14-K14-L14-M14)</f>
        <v>898.95000000000027</v>
      </c>
    </row>
    <row r="15" spans="2:15" x14ac:dyDescent="0.25">
      <c r="B15" s="3"/>
      <c r="C15" s="3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2:15" x14ac:dyDescent="0.25">
      <c r="B16" s="15"/>
      <c r="C16" s="15"/>
      <c r="D16" s="24"/>
      <c r="E16" s="24"/>
      <c r="F16" s="24"/>
      <c r="G16" s="24"/>
      <c r="H16" s="24"/>
      <c r="I16" s="24"/>
      <c r="J16" s="24" t="s">
        <v>2</v>
      </c>
      <c r="K16" s="24"/>
      <c r="L16" s="24" t="s">
        <v>2</v>
      </c>
      <c r="M16" s="24"/>
      <c r="N16" s="24"/>
    </row>
    <row r="17" spans="2:14" x14ac:dyDescent="0.25">
      <c r="B17" s="15"/>
      <c r="C17" s="15" t="s">
        <v>16</v>
      </c>
      <c r="D17" s="24"/>
      <c r="E17" s="73">
        <v>42751</v>
      </c>
      <c r="F17" s="73">
        <v>42766</v>
      </c>
      <c r="G17" s="73">
        <v>42781</v>
      </c>
      <c r="H17" s="73">
        <v>47150</v>
      </c>
      <c r="I17" s="73">
        <v>42809</v>
      </c>
      <c r="J17" s="73">
        <v>42825</v>
      </c>
      <c r="K17" s="73">
        <v>42840</v>
      </c>
      <c r="L17" s="73">
        <v>42855</v>
      </c>
      <c r="M17" s="73">
        <v>42870</v>
      </c>
      <c r="N17" s="73">
        <v>42886</v>
      </c>
    </row>
    <row r="18" spans="2:14" x14ac:dyDescent="0.25">
      <c r="B18" s="15"/>
      <c r="C18" s="15"/>
      <c r="D18" s="24"/>
      <c r="E18" s="24"/>
      <c r="F18" s="24"/>
      <c r="G18" s="24" t="s">
        <v>77</v>
      </c>
      <c r="H18" s="24"/>
      <c r="I18" s="24"/>
      <c r="J18" s="24"/>
      <c r="K18" s="24"/>
      <c r="L18" s="24"/>
      <c r="M18" s="24"/>
      <c r="N18" s="24"/>
    </row>
    <row r="19" spans="2:14" x14ac:dyDescent="0.25">
      <c r="B19" s="3">
        <v>602515</v>
      </c>
      <c r="C19" s="3" t="s">
        <v>20</v>
      </c>
      <c r="D19" s="9">
        <v>14880</v>
      </c>
      <c r="E19" s="9">
        <v>1488</v>
      </c>
      <c r="F19" s="9">
        <v>1488</v>
      </c>
      <c r="G19" s="9">
        <v>1488</v>
      </c>
      <c r="H19" s="9">
        <v>1488</v>
      </c>
      <c r="I19" s="9">
        <v>1488</v>
      </c>
      <c r="J19" s="9">
        <v>1488</v>
      </c>
      <c r="K19" s="9">
        <v>1488</v>
      </c>
      <c r="L19" s="9">
        <v>1488</v>
      </c>
      <c r="M19" s="9">
        <v>1488</v>
      </c>
      <c r="N19" s="9">
        <f>SUM(D19-E19-F19-G19-H19-I19-J19-K19-L19-M19)</f>
        <v>1488</v>
      </c>
    </row>
    <row r="20" spans="2:14" x14ac:dyDescent="0.25">
      <c r="B20" s="3"/>
      <c r="C20" s="3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2:14" x14ac:dyDescent="0.25">
      <c r="B21" s="3">
        <v>602957</v>
      </c>
      <c r="C21" s="3" t="s">
        <v>25</v>
      </c>
      <c r="D21" s="9">
        <v>15500</v>
      </c>
      <c r="E21" s="9">
        <v>1550</v>
      </c>
      <c r="F21" s="9">
        <v>1550</v>
      </c>
      <c r="G21" s="9">
        <v>1550</v>
      </c>
      <c r="H21" s="9">
        <v>1550</v>
      </c>
      <c r="I21" s="9">
        <v>1550</v>
      </c>
      <c r="J21" s="9">
        <v>1550</v>
      </c>
      <c r="K21" s="9">
        <v>1550</v>
      </c>
      <c r="L21" s="9">
        <v>1550</v>
      </c>
      <c r="M21" s="9">
        <v>1550</v>
      </c>
      <c r="N21" s="9">
        <f>SUM(D21-E21-F21-G21-H21-I21-J21-K21-L21-M21)</f>
        <v>1550</v>
      </c>
    </row>
  </sheetData>
  <pageMargins left="0.2" right="0.2" top="0.75" bottom="0.75" header="0.3" footer="0.3"/>
  <pageSetup paperSize="5" scale="75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48"/>
  <sheetViews>
    <sheetView topLeftCell="D1" workbookViewId="0">
      <selection activeCell="G7" sqref="G7"/>
    </sheetView>
  </sheetViews>
  <sheetFormatPr defaultRowHeight="15" x14ac:dyDescent="0.25"/>
  <cols>
    <col min="3" max="3" width="20.28515625" customWidth="1"/>
    <col min="4" max="4" width="21.140625" customWidth="1"/>
    <col min="5" max="5" width="19.28515625" customWidth="1"/>
    <col min="6" max="6" width="22.140625" customWidth="1"/>
    <col min="7" max="7" width="30" customWidth="1"/>
    <col min="8" max="8" width="4.28515625" customWidth="1"/>
    <col min="9" max="9" width="30.42578125" customWidth="1"/>
    <col min="10" max="10" width="17" customWidth="1"/>
    <col min="11" max="11" width="16.42578125" customWidth="1"/>
  </cols>
  <sheetData>
    <row r="3" spans="1:11" ht="36" x14ac:dyDescent="0.55000000000000004">
      <c r="D3" s="2" t="s">
        <v>2</v>
      </c>
    </row>
    <row r="4" spans="1:11" x14ac:dyDescent="0.25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ht="36" x14ac:dyDescent="0.55000000000000004">
      <c r="B5" s="15"/>
      <c r="C5" s="15" t="s">
        <v>17</v>
      </c>
      <c r="D5" s="15" t="s">
        <v>78</v>
      </c>
      <c r="E5" s="16" t="s">
        <v>81</v>
      </c>
      <c r="F5" s="15"/>
      <c r="G5" s="15"/>
      <c r="H5" s="15"/>
      <c r="I5" s="15"/>
      <c r="J5" s="15"/>
      <c r="K5" s="3"/>
    </row>
    <row r="6" spans="1:11" ht="36" x14ac:dyDescent="0.55000000000000004">
      <c r="B6" s="15"/>
      <c r="C6" s="15" t="s">
        <v>2</v>
      </c>
      <c r="D6" s="15" t="s">
        <v>2</v>
      </c>
      <c r="E6" s="17" t="s">
        <v>2</v>
      </c>
      <c r="F6" s="18" t="s">
        <v>2</v>
      </c>
      <c r="G6" s="18" t="s">
        <v>2</v>
      </c>
      <c r="H6" s="18"/>
      <c r="I6" s="18" t="s">
        <v>2</v>
      </c>
      <c r="J6" s="18" t="s">
        <v>90</v>
      </c>
      <c r="K6" s="18" t="s">
        <v>90</v>
      </c>
    </row>
    <row r="7" spans="1:11" ht="36" x14ac:dyDescent="0.55000000000000004">
      <c r="B7" s="15"/>
      <c r="C7" s="15"/>
      <c r="D7" s="15"/>
      <c r="E7" s="17"/>
      <c r="F7" s="36">
        <v>42772</v>
      </c>
      <c r="G7" s="3"/>
      <c r="H7" s="3"/>
      <c r="I7" s="39" t="s">
        <v>85</v>
      </c>
      <c r="J7" s="37">
        <v>42853</v>
      </c>
      <c r="K7" s="38" t="s">
        <v>84</v>
      </c>
    </row>
    <row r="8" spans="1:11" x14ac:dyDescent="0.25">
      <c r="B8" s="3">
        <v>601004</v>
      </c>
      <c r="C8" s="3" t="s">
        <v>1</v>
      </c>
      <c r="D8" s="6">
        <v>39249</v>
      </c>
      <c r="E8" s="9">
        <v>184</v>
      </c>
      <c r="F8" s="19">
        <v>8</v>
      </c>
      <c r="G8" s="3"/>
      <c r="H8" s="3"/>
      <c r="I8" s="20">
        <f>SUM(E8-F8-G8-H8)</f>
        <v>176</v>
      </c>
      <c r="J8" s="19">
        <v>8</v>
      </c>
      <c r="K8" s="19">
        <v>24</v>
      </c>
    </row>
    <row r="9" spans="1:11" x14ac:dyDescent="0.25">
      <c r="B9" s="3"/>
      <c r="C9" s="3"/>
      <c r="D9" s="40" t="s">
        <v>89</v>
      </c>
      <c r="E9" s="9" t="s">
        <v>2</v>
      </c>
      <c r="F9" s="21" t="s">
        <v>2</v>
      </c>
      <c r="G9" s="3"/>
      <c r="H9" s="21"/>
      <c r="I9" s="41" t="s">
        <v>85</v>
      </c>
      <c r="J9" s="36">
        <v>42853</v>
      </c>
      <c r="K9" s="3"/>
    </row>
    <row r="10" spans="1:11" x14ac:dyDescent="0.25">
      <c r="B10" s="3">
        <v>601012</v>
      </c>
      <c r="C10" s="3" t="s">
        <v>12</v>
      </c>
      <c r="D10" s="6">
        <v>41122</v>
      </c>
      <c r="E10" s="9">
        <v>104</v>
      </c>
      <c r="F10" s="21">
        <v>0</v>
      </c>
      <c r="G10" s="3"/>
      <c r="H10" s="21"/>
      <c r="I10" s="20">
        <f>SUM(E10-F10-G10-H10)</f>
        <v>104</v>
      </c>
      <c r="J10" s="19">
        <v>8</v>
      </c>
      <c r="K10" s="3"/>
    </row>
    <row r="11" spans="1:11" x14ac:dyDescent="0.25">
      <c r="A11" s="13"/>
      <c r="B11" s="14"/>
      <c r="C11" s="14"/>
      <c r="D11" s="14"/>
      <c r="E11" s="22" t="s">
        <v>2</v>
      </c>
      <c r="F11" s="23" t="s">
        <v>2</v>
      </c>
      <c r="G11" s="23"/>
      <c r="H11" s="23"/>
      <c r="I11" s="23" t="s">
        <v>2</v>
      </c>
      <c r="J11" s="21" t="s">
        <v>2</v>
      </c>
      <c r="K11" s="3"/>
    </row>
    <row r="12" spans="1:11" x14ac:dyDescent="0.25">
      <c r="B12" s="15"/>
      <c r="C12" s="15"/>
      <c r="D12" s="15"/>
      <c r="E12" s="24"/>
      <c r="F12" s="25"/>
      <c r="G12" s="25"/>
      <c r="H12" s="26"/>
      <c r="I12" s="26"/>
      <c r="J12" s="15"/>
      <c r="K12" s="3"/>
    </row>
    <row r="13" spans="1:11" x14ac:dyDescent="0.25">
      <c r="B13" s="15"/>
      <c r="C13" s="15" t="s">
        <v>16</v>
      </c>
      <c r="D13" s="15"/>
      <c r="E13" s="24"/>
      <c r="F13" s="35" t="s">
        <v>86</v>
      </c>
      <c r="G13" s="27">
        <v>42817</v>
      </c>
      <c r="H13" s="26"/>
      <c r="I13" s="42" t="s">
        <v>85</v>
      </c>
      <c r="J13" s="43" t="s">
        <v>2</v>
      </c>
      <c r="K13" s="3"/>
    </row>
    <row r="14" spans="1:11" x14ac:dyDescent="0.25">
      <c r="B14" s="3">
        <v>602515</v>
      </c>
      <c r="C14" s="3" t="s">
        <v>20</v>
      </c>
      <c r="D14" s="6">
        <v>39873</v>
      </c>
      <c r="E14" s="9">
        <v>200</v>
      </c>
      <c r="F14" s="19">
        <v>16</v>
      </c>
      <c r="G14" s="19">
        <v>4</v>
      </c>
      <c r="H14" s="3"/>
      <c r="I14" s="28">
        <f>SUM(E14-F14-G14)</f>
        <v>180</v>
      </c>
      <c r="J14" s="21">
        <v>0</v>
      </c>
      <c r="K14" s="3"/>
    </row>
    <row r="15" spans="1:11" x14ac:dyDescent="0.25">
      <c r="B15" s="3"/>
      <c r="C15" s="3"/>
      <c r="D15" s="3"/>
      <c r="E15" s="9"/>
      <c r="F15" s="21"/>
      <c r="G15" s="21" t="s">
        <v>87</v>
      </c>
      <c r="H15" s="3"/>
      <c r="I15" s="21"/>
      <c r="J15" s="44">
        <v>42842</v>
      </c>
      <c r="K15" s="3"/>
    </row>
    <row r="16" spans="1:11" x14ac:dyDescent="0.25">
      <c r="B16" s="3">
        <v>602957</v>
      </c>
      <c r="C16" s="3" t="s">
        <v>25</v>
      </c>
      <c r="D16" s="6">
        <v>37288</v>
      </c>
      <c r="E16" s="9">
        <v>240</v>
      </c>
      <c r="F16" s="21">
        <v>0</v>
      </c>
      <c r="G16" s="19">
        <v>16</v>
      </c>
      <c r="H16" s="3"/>
      <c r="I16" s="29">
        <f>SUM(E16-F16-G16)</f>
        <v>224</v>
      </c>
      <c r="J16" s="19">
        <v>8</v>
      </c>
      <c r="K16" s="3"/>
    </row>
    <row r="17" spans="1:11" x14ac:dyDescent="0.25">
      <c r="B17" s="3"/>
      <c r="C17" s="3"/>
      <c r="D17" s="3"/>
      <c r="E17" s="9"/>
      <c r="F17" s="3"/>
      <c r="G17" s="3"/>
      <c r="H17" s="3"/>
      <c r="I17" s="3"/>
      <c r="J17" s="3"/>
      <c r="K17" s="3"/>
    </row>
    <row r="18" spans="1:11" x14ac:dyDescent="0.25">
      <c r="B18" s="3"/>
      <c r="C18" s="3"/>
      <c r="D18" s="3"/>
      <c r="E18" s="9"/>
      <c r="F18" s="3"/>
      <c r="G18" s="3"/>
      <c r="H18" s="3"/>
      <c r="I18" s="3"/>
      <c r="J18" s="3"/>
      <c r="K18" s="3"/>
    </row>
    <row r="19" spans="1:11" x14ac:dyDescent="0.25">
      <c r="A19" s="13"/>
      <c r="B19" s="14"/>
      <c r="C19" s="14"/>
      <c r="D19" s="14"/>
      <c r="E19" s="22"/>
      <c r="F19" s="14"/>
      <c r="G19" s="14"/>
      <c r="H19" s="14"/>
      <c r="I19" s="14"/>
      <c r="J19" s="3"/>
      <c r="K19" s="3"/>
    </row>
    <row r="20" spans="1:11" ht="36" x14ac:dyDescent="0.55000000000000004">
      <c r="B20" s="15"/>
      <c r="C20" s="15" t="s">
        <v>17</v>
      </c>
      <c r="D20" s="15" t="s">
        <v>78</v>
      </c>
      <c r="E20" s="30" t="s">
        <v>79</v>
      </c>
      <c r="F20" s="15"/>
      <c r="G20" s="15"/>
      <c r="H20" s="26"/>
      <c r="I20" s="26"/>
      <c r="J20" s="3"/>
      <c r="K20" s="3"/>
    </row>
    <row r="21" spans="1:11" ht="36" x14ac:dyDescent="0.55000000000000004">
      <c r="B21" s="15"/>
      <c r="C21" s="15" t="s">
        <v>2</v>
      </c>
      <c r="D21" s="15" t="s">
        <v>2</v>
      </c>
      <c r="E21" s="30" t="s">
        <v>2</v>
      </c>
      <c r="F21" s="18" t="s">
        <v>2</v>
      </c>
      <c r="G21" s="18" t="s">
        <v>2</v>
      </c>
      <c r="H21" s="3"/>
      <c r="I21" s="39" t="s">
        <v>85</v>
      </c>
      <c r="J21" s="3"/>
      <c r="K21" s="3"/>
    </row>
    <row r="22" spans="1:11" x14ac:dyDescent="0.25">
      <c r="B22" s="3">
        <v>601004</v>
      </c>
      <c r="C22" s="3" t="s">
        <v>1</v>
      </c>
      <c r="D22" s="6">
        <v>39249</v>
      </c>
      <c r="E22" s="9">
        <v>104</v>
      </c>
      <c r="F22" s="21">
        <v>0</v>
      </c>
      <c r="G22" s="21">
        <v>0</v>
      </c>
      <c r="H22" s="21"/>
      <c r="I22" s="28">
        <f>SUM(E22-F22-G22)</f>
        <v>104</v>
      </c>
      <c r="J22" s="3"/>
      <c r="K22" s="3"/>
    </row>
    <row r="23" spans="1:11" x14ac:dyDescent="0.25">
      <c r="B23" s="3"/>
      <c r="C23" s="3"/>
      <c r="D23" s="31" t="s">
        <v>82</v>
      </c>
      <c r="E23" s="9" t="s">
        <v>2</v>
      </c>
      <c r="F23" s="21" t="s">
        <v>2</v>
      </c>
      <c r="G23" s="21" t="s">
        <v>2</v>
      </c>
      <c r="H23" s="21"/>
      <c r="I23" s="21" t="s">
        <v>2</v>
      </c>
      <c r="J23" s="3"/>
      <c r="K23" s="3"/>
    </row>
    <row r="24" spans="1:11" x14ac:dyDescent="0.25">
      <c r="B24" s="3">
        <v>601012</v>
      </c>
      <c r="C24" s="3" t="s">
        <v>12</v>
      </c>
      <c r="D24" s="6">
        <v>41122</v>
      </c>
      <c r="E24" s="9">
        <v>104</v>
      </c>
      <c r="F24" s="21">
        <v>0</v>
      </c>
      <c r="G24" s="21">
        <v>0</v>
      </c>
      <c r="H24" s="21"/>
      <c r="I24" s="29">
        <f>SUM(E24-F24-G24)</f>
        <v>104</v>
      </c>
      <c r="J24" s="3"/>
      <c r="K24" s="3"/>
    </row>
    <row r="25" spans="1:11" x14ac:dyDescent="0.25">
      <c r="B25" s="3"/>
      <c r="C25" s="3"/>
      <c r="D25" s="3"/>
      <c r="E25" s="9" t="s">
        <v>2</v>
      </c>
      <c r="F25" s="21" t="s">
        <v>2</v>
      </c>
      <c r="G25" s="21"/>
      <c r="H25" s="21"/>
      <c r="I25" s="21" t="s">
        <v>2</v>
      </c>
      <c r="J25" s="3"/>
      <c r="K25" s="3"/>
    </row>
    <row r="26" spans="1:11" x14ac:dyDescent="0.25">
      <c r="B26" s="15"/>
      <c r="C26" s="15"/>
      <c r="D26" s="15"/>
      <c r="E26" s="24"/>
      <c r="F26" s="15"/>
      <c r="G26" s="15"/>
      <c r="H26" s="15"/>
      <c r="I26" s="39" t="s">
        <v>85</v>
      </c>
      <c r="J26" s="3"/>
      <c r="K26" s="3"/>
    </row>
    <row r="27" spans="1:11" x14ac:dyDescent="0.25">
      <c r="B27" s="15"/>
      <c r="C27" s="15" t="s">
        <v>16</v>
      </c>
      <c r="D27" s="15" t="s">
        <v>78</v>
      </c>
      <c r="E27" s="24"/>
      <c r="F27" s="15"/>
      <c r="G27" s="15"/>
      <c r="H27" s="15"/>
      <c r="I27" s="15"/>
      <c r="J27" s="3"/>
      <c r="K27" s="3"/>
    </row>
    <row r="28" spans="1:11" x14ac:dyDescent="0.25">
      <c r="B28" s="3">
        <v>602515</v>
      </c>
      <c r="C28" s="3" t="s">
        <v>20</v>
      </c>
      <c r="D28" s="6">
        <v>39873</v>
      </c>
      <c r="E28" s="9">
        <v>120</v>
      </c>
      <c r="F28" s="21">
        <v>0</v>
      </c>
      <c r="G28" s="21">
        <v>0</v>
      </c>
      <c r="H28" s="21"/>
      <c r="I28" s="29">
        <f>SUM(E28-F28-G28)</f>
        <v>120</v>
      </c>
      <c r="J28" s="3"/>
      <c r="K28" s="3"/>
    </row>
    <row r="29" spans="1:11" x14ac:dyDescent="0.25">
      <c r="B29" s="3"/>
      <c r="C29" s="3"/>
      <c r="D29" s="3"/>
      <c r="E29" s="9"/>
      <c r="F29" s="21"/>
      <c r="G29" s="21"/>
      <c r="H29" s="21"/>
      <c r="I29" s="21"/>
      <c r="J29" s="3"/>
      <c r="K29" s="3"/>
    </row>
    <row r="30" spans="1:11" x14ac:dyDescent="0.25">
      <c r="B30" s="3">
        <v>602957</v>
      </c>
      <c r="C30" s="3" t="s">
        <v>25</v>
      </c>
      <c r="D30" s="6">
        <v>37288</v>
      </c>
      <c r="E30" s="9">
        <v>120</v>
      </c>
      <c r="F30" s="21">
        <v>0</v>
      </c>
      <c r="G30" s="21">
        <v>0</v>
      </c>
      <c r="H30" s="21"/>
      <c r="I30" s="29">
        <f>SUM(E30-F30-G30)</f>
        <v>120</v>
      </c>
      <c r="J30" s="3"/>
      <c r="K30" s="3"/>
    </row>
    <row r="31" spans="1:11" x14ac:dyDescent="0.25">
      <c r="B31" s="3"/>
      <c r="C31" s="3"/>
      <c r="D31" s="3"/>
      <c r="E31" s="9"/>
      <c r="F31" s="3"/>
      <c r="G31" s="3"/>
      <c r="H31" s="3"/>
      <c r="I31" s="3"/>
      <c r="J31" s="3"/>
      <c r="K31" s="3"/>
    </row>
    <row r="32" spans="1:11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x14ac:dyDescent="0.25">
      <c r="A33" s="13"/>
      <c r="B33" s="14"/>
      <c r="C33" s="14"/>
      <c r="D33" s="14"/>
      <c r="E33" s="14"/>
      <c r="F33" s="14"/>
      <c r="G33" s="14"/>
      <c r="H33" s="14"/>
      <c r="I33" s="14"/>
      <c r="J33" s="3"/>
      <c r="K33" s="3"/>
    </row>
    <row r="34" spans="1:11" x14ac:dyDescent="0.25">
      <c r="B34" s="31"/>
      <c r="C34" s="31"/>
      <c r="D34" s="31"/>
      <c r="E34" s="31"/>
      <c r="F34" s="31"/>
      <c r="G34" s="31"/>
      <c r="H34" s="31"/>
      <c r="I34" s="31"/>
      <c r="J34" s="3"/>
      <c r="K34" s="3"/>
    </row>
    <row r="35" spans="1:11" ht="46.5" x14ac:dyDescent="0.7">
      <c r="B35" s="31"/>
      <c r="C35" s="31"/>
      <c r="D35" s="31"/>
      <c r="E35" s="32" t="s">
        <v>80</v>
      </c>
      <c r="F35" s="31"/>
      <c r="G35" s="31"/>
      <c r="H35" s="31"/>
      <c r="I35" s="31"/>
      <c r="J35" s="3"/>
      <c r="K35" s="3"/>
    </row>
    <row r="36" spans="1:11" ht="46.5" x14ac:dyDescent="0.7">
      <c r="B36" s="31"/>
      <c r="C36" s="31"/>
      <c r="D36" s="31"/>
      <c r="E36" s="32" t="s">
        <v>88</v>
      </c>
      <c r="F36" s="31"/>
      <c r="G36" s="31"/>
      <c r="H36" s="31"/>
      <c r="I36" s="18" t="s">
        <v>85</v>
      </c>
      <c r="J36" s="3"/>
      <c r="K36" s="3"/>
    </row>
    <row r="37" spans="1:11" x14ac:dyDescent="0.25">
      <c r="B37" s="3" t="s">
        <v>27</v>
      </c>
      <c r="C37" s="3" t="s">
        <v>11</v>
      </c>
      <c r="D37" s="6">
        <v>38124</v>
      </c>
      <c r="E37" s="3">
        <v>40</v>
      </c>
      <c r="F37" s="21">
        <v>0</v>
      </c>
      <c r="G37" s="21">
        <v>0</v>
      </c>
      <c r="H37" s="21">
        <v>0</v>
      </c>
      <c r="I37" s="28">
        <f>SUM(E37-F37-G37-H37)</f>
        <v>40</v>
      </c>
      <c r="J37" s="3"/>
      <c r="K37" s="3"/>
    </row>
    <row r="38" spans="1:11" x14ac:dyDescent="0.25">
      <c r="B38" s="3"/>
      <c r="C38" s="3"/>
      <c r="D38" s="3"/>
      <c r="E38" s="3"/>
      <c r="F38" s="33">
        <v>42745</v>
      </c>
      <c r="G38" s="34">
        <v>42786</v>
      </c>
      <c r="H38" s="21"/>
      <c r="I38" s="21" t="s">
        <v>2</v>
      </c>
      <c r="J38" s="3"/>
      <c r="K38" s="3"/>
    </row>
    <row r="39" spans="1:11" x14ac:dyDescent="0.25">
      <c r="B39" s="3" t="s">
        <v>26</v>
      </c>
      <c r="C39" s="3" t="s">
        <v>18</v>
      </c>
      <c r="D39" s="6">
        <v>41806</v>
      </c>
      <c r="E39" s="3">
        <v>40</v>
      </c>
      <c r="F39" s="11">
        <v>8</v>
      </c>
      <c r="G39" s="19">
        <v>8</v>
      </c>
      <c r="H39" s="21"/>
      <c r="I39" s="28">
        <f>SUM(E39-F39-G39-H39)</f>
        <v>24</v>
      </c>
      <c r="J39" s="3"/>
      <c r="K39" s="3"/>
    </row>
    <row r="40" spans="1:11" x14ac:dyDescent="0.25">
      <c r="B40" s="3"/>
      <c r="C40" s="3"/>
      <c r="D40" s="3"/>
      <c r="E40" s="3"/>
      <c r="F40" s="11" t="s">
        <v>83</v>
      </c>
      <c r="G40" s="21"/>
      <c r="H40" s="21"/>
      <c r="I40" s="21" t="s">
        <v>2</v>
      </c>
      <c r="J40" s="3"/>
      <c r="K40" s="3"/>
    </row>
    <row r="41" spans="1:11" x14ac:dyDescent="0.25">
      <c r="B41" s="3" t="s">
        <v>28</v>
      </c>
      <c r="C41" s="3" t="s">
        <v>8</v>
      </c>
      <c r="D41" s="6">
        <v>40605</v>
      </c>
      <c r="E41" s="3">
        <v>40</v>
      </c>
      <c r="F41" s="11">
        <v>16</v>
      </c>
      <c r="G41" s="21" t="s">
        <v>2</v>
      </c>
      <c r="H41" s="21"/>
      <c r="I41" s="28">
        <f>SUM(E39-F39-G39-H39)</f>
        <v>24</v>
      </c>
      <c r="J41" s="3"/>
      <c r="K41" s="3"/>
    </row>
    <row r="42" spans="1:11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x14ac:dyDescent="0.25">
      <c r="B45" s="3"/>
      <c r="C45" s="3"/>
      <c r="D45" s="3"/>
      <c r="E45" s="3"/>
      <c r="F45" s="3"/>
      <c r="G45" s="3"/>
      <c r="H45" s="3"/>
      <c r="I45" s="3"/>
    </row>
    <row r="46" spans="1:11" x14ac:dyDescent="0.25">
      <c r="B46" s="3"/>
      <c r="C46" s="3"/>
      <c r="D46" s="3"/>
      <c r="E46" s="3"/>
      <c r="F46" s="3"/>
      <c r="G46" s="3"/>
      <c r="H46" s="3"/>
      <c r="I46" s="3"/>
    </row>
    <row r="47" spans="1:11" x14ac:dyDescent="0.25">
      <c r="B47" s="3"/>
      <c r="C47" s="3"/>
      <c r="D47" s="3"/>
      <c r="E47" s="3"/>
      <c r="F47" s="3"/>
      <c r="G47" s="3"/>
      <c r="H47" s="3"/>
      <c r="I47" s="3"/>
    </row>
    <row r="48" spans="1:11" x14ac:dyDescent="0.25">
      <c r="B48" s="3"/>
      <c r="C48" s="3"/>
      <c r="D48" s="3"/>
      <c r="E48" s="3"/>
      <c r="F48" s="3"/>
      <c r="G48" s="3"/>
      <c r="H48" s="3"/>
      <c r="I48" s="3"/>
    </row>
  </sheetData>
  <pageMargins left="0.7" right="0.7" top="0.75" bottom="0.75" header="0.3" footer="0.3"/>
  <pageSetup scale="65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149"/>
  <sheetViews>
    <sheetView topLeftCell="A118" workbookViewId="0">
      <selection activeCell="I105" sqref="I105"/>
    </sheetView>
  </sheetViews>
  <sheetFormatPr defaultRowHeight="15" x14ac:dyDescent="0.25"/>
  <cols>
    <col min="2" max="2" width="13.42578125" bestFit="1" customWidth="1"/>
    <col min="3" max="3" width="12.140625" customWidth="1"/>
    <col min="4" max="4" width="12.28515625" customWidth="1"/>
    <col min="8" max="8" width="13" customWidth="1"/>
    <col min="12" max="12" width="13.140625" customWidth="1"/>
  </cols>
  <sheetData>
    <row r="2" spans="2:14" ht="28.5" x14ac:dyDescent="0.45">
      <c r="B2" s="78"/>
      <c r="C2" s="76" t="s">
        <v>101</v>
      </c>
      <c r="D2" s="78"/>
      <c r="E2" s="78"/>
      <c r="F2" s="79"/>
      <c r="H2" s="3"/>
      <c r="I2" s="76" t="s">
        <v>101</v>
      </c>
      <c r="J2" s="3"/>
      <c r="K2" s="3"/>
      <c r="L2" s="3"/>
      <c r="M2" s="3"/>
      <c r="N2" s="3"/>
    </row>
    <row r="3" spans="2:14" ht="15.75" x14ac:dyDescent="0.25">
      <c r="B3" s="78">
        <v>602515</v>
      </c>
      <c r="C3" s="78" t="s">
        <v>91</v>
      </c>
      <c r="D3" s="78"/>
      <c r="E3" s="78"/>
      <c r="F3" s="79"/>
      <c r="H3" s="3">
        <v>6602957</v>
      </c>
      <c r="I3" s="3" t="s">
        <v>94</v>
      </c>
      <c r="J3" s="3"/>
      <c r="K3" s="3"/>
      <c r="L3" s="3"/>
      <c r="M3" s="3"/>
      <c r="N3" s="3"/>
    </row>
    <row r="4" spans="2:14" ht="15.75" x14ac:dyDescent="0.25">
      <c r="B4" s="78"/>
      <c r="C4" s="78" t="s">
        <v>92</v>
      </c>
      <c r="D4" s="78" t="s">
        <v>93</v>
      </c>
      <c r="E4" s="78"/>
      <c r="F4" s="79"/>
      <c r="H4" s="3"/>
      <c r="I4" s="3" t="s">
        <v>95</v>
      </c>
      <c r="J4" s="3"/>
      <c r="K4" s="3"/>
      <c r="L4" s="3" t="s">
        <v>92</v>
      </c>
      <c r="M4" s="3" t="s">
        <v>93</v>
      </c>
      <c r="N4" s="3"/>
    </row>
    <row r="5" spans="2:14" ht="15.75" x14ac:dyDescent="0.25">
      <c r="B5" s="80">
        <v>42822</v>
      </c>
      <c r="C5" s="81">
        <v>0.25</v>
      </c>
      <c r="D5" s="81">
        <v>0.22916666666666666</v>
      </c>
      <c r="E5" s="78"/>
      <c r="F5" s="79"/>
      <c r="H5" s="6">
        <v>42822</v>
      </c>
      <c r="I5" s="77">
        <v>0.25694444444444448</v>
      </c>
      <c r="J5" s="77">
        <v>0.32013888888888892</v>
      </c>
      <c r="K5" s="3"/>
      <c r="L5" s="77">
        <v>0.3576388888888889</v>
      </c>
      <c r="M5" s="77">
        <v>0.25</v>
      </c>
      <c r="N5" s="3"/>
    </row>
    <row r="6" spans="2:14" ht="15.75" x14ac:dyDescent="0.25">
      <c r="B6" s="80">
        <v>42823</v>
      </c>
      <c r="C6" s="81">
        <v>0.25</v>
      </c>
      <c r="D6" s="81">
        <v>0.22916666666666666</v>
      </c>
      <c r="E6" s="78"/>
      <c r="F6" s="79"/>
      <c r="H6" s="6">
        <v>42823</v>
      </c>
      <c r="I6" s="77">
        <v>0.25277777777777777</v>
      </c>
      <c r="J6" s="77">
        <v>0.31388888888888888</v>
      </c>
      <c r="K6" s="3"/>
      <c r="L6" s="77">
        <v>0.35833333333333334</v>
      </c>
      <c r="M6" s="77">
        <v>0.25069444444444444</v>
      </c>
      <c r="N6" s="3"/>
    </row>
    <row r="7" spans="2:14" ht="15.75" x14ac:dyDescent="0.25">
      <c r="B7" s="80">
        <v>42824</v>
      </c>
      <c r="C7" s="81">
        <v>0.28402777777777777</v>
      </c>
      <c r="D7" s="81">
        <v>0.22916666666666666</v>
      </c>
      <c r="E7" s="78"/>
      <c r="F7" s="79"/>
      <c r="H7" s="6">
        <v>42824</v>
      </c>
      <c r="I7" s="77">
        <v>0.25694444444444448</v>
      </c>
      <c r="J7" s="77">
        <v>0.3576388888888889</v>
      </c>
      <c r="K7" s="3"/>
      <c r="L7" s="77">
        <v>0.35833333333333334</v>
      </c>
      <c r="M7" s="77">
        <v>0.25</v>
      </c>
      <c r="N7" s="3"/>
    </row>
    <row r="8" spans="2:14" ht="15.75" x14ac:dyDescent="0.25">
      <c r="B8" s="80">
        <v>42825</v>
      </c>
      <c r="C8" s="81">
        <v>0.19791666666666666</v>
      </c>
      <c r="D8" s="81">
        <v>0.23333333333333331</v>
      </c>
      <c r="E8" s="78"/>
      <c r="F8" s="79"/>
      <c r="H8" s="6">
        <v>42825</v>
      </c>
      <c r="I8" s="77">
        <v>0.27083333333333331</v>
      </c>
      <c r="J8" s="77">
        <v>0.32847222222222222</v>
      </c>
      <c r="K8" s="3"/>
      <c r="L8" s="77">
        <v>0.35833333333333334</v>
      </c>
      <c r="M8" s="77">
        <v>0.25</v>
      </c>
      <c r="N8" s="3"/>
    </row>
    <row r="9" spans="2:14" ht="15.75" x14ac:dyDescent="0.25">
      <c r="B9" s="80">
        <v>42826</v>
      </c>
      <c r="C9" s="81">
        <v>0.25694444444444448</v>
      </c>
      <c r="D9" s="81">
        <v>0.22916666666666666</v>
      </c>
      <c r="E9" s="78"/>
      <c r="F9" s="79"/>
      <c r="H9" s="6">
        <v>42826</v>
      </c>
      <c r="I9" s="77" t="s">
        <v>2</v>
      </c>
      <c r="J9" s="77" t="s">
        <v>2</v>
      </c>
      <c r="K9" s="3"/>
      <c r="L9" s="77" t="s">
        <v>2</v>
      </c>
      <c r="M9" s="77" t="s">
        <v>2</v>
      </c>
      <c r="N9" s="3"/>
    </row>
    <row r="10" spans="2:14" ht="15.75" x14ac:dyDescent="0.25">
      <c r="B10" s="80">
        <v>42827</v>
      </c>
      <c r="C10" s="78"/>
      <c r="D10" s="78"/>
      <c r="E10" s="78"/>
      <c r="F10" s="79"/>
      <c r="H10" s="6">
        <v>42827</v>
      </c>
      <c r="I10" s="3"/>
      <c r="J10" s="3"/>
      <c r="K10" s="3"/>
      <c r="L10" s="3"/>
      <c r="M10" s="3"/>
      <c r="N10" s="3"/>
    </row>
    <row r="11" spans="2:14" ht="15.75" x14ac:dyDescent="0.25">
      <c r="B11" s="80">
        <v>42828</v>
      </c>
      <c r="C11" s="81">
        <v>0.27638888888888885</v>
      </c>
      <c r="D11" s="81">
        <v>0.22916666666666666</v>
      </c>
      <c r="E11" s="78"/>
      <c r="F11" s="79"/>
      <c r="H11" s="6">
        <v>42828</v>
      </c>
      <c r="I11" s="77">
        <v>0.27083333333333331</v>
      </c>
      <c r="J11" s="77">
        <v>0.34027777777777773</v>
      </c>
      <c r="K11" s="3"/>
      <c r="L11" s="77">
        <v>0.34652777777777777</v>
      </c>
      <c r="M11" s="77">
        <v>0.25</v>
      </c>
      <c r="N11" s="3"/>
    </row>
    <row r="12" spans="2:14" ht="15.75" x14ac:dyDescent="0.25">
      <c r="B12" s="80">
        <v>42829</v>
      </c>
      <c r="C12" s="81">
        <v>0.25694444444444448</v>
      </c>
      <c r="D12" s="81">
        <v>0.2298611111111111</v>
      </c>
      <c r="E12" s="78"/>
      <c r="F12" s="79"/>
      <c r="H12" s="6">
        <v>42829</v>
      </c>
      <c r="I12" s="77">
        <v>0.25694444444444448</v>
      </c>
      <c r="J12" s="77">
        <v>0.33888888888888885</v>
      </c>
      <c r="K12" s="3"/>
      <c r="L12" s="77">
        <v>0.34791666666666665</v>
      </c>
      <c r="M12" s="77">
        <v>0.25</v>
      </c>
      <c r="N12" s="3"/>
    </row>
    <row r="13" spans="2:14" ht="15.75" x14ac:dyDescent="0.25">
      <c r="B13" s="80">
        <v>42830</v>
      </c>
      <c r="C13" s="81">
        <v>0.26250000000000001</v>
      </c>
      <c r="D13" s="81">
        <v>0.22916666666666666</v>
      </c>
      <c r="E13" s="78"/>
      <c r="F13" s="79"/>
      <c r="H13" s="6">
        <v>42830</v>
      </c>
      <c r="I13" s="77">
        <v>0.25347222222222221</v>
      </c>
      <c r="J13" s="77">
        <v>0.31041666666666667</v>
      </c>
      <c r="K13" s="3"/>
      <c r="L13" s="77">
        <v>0.35902777777777778</v>
      </c>
      <c r="M13" s="77">
        <v>0.25069444444444444</v>
      </c>
      <c r="N13" s="3"/>
    </row>
    <row r="14" spans="2:14" ht="15.75" x14ac:dyDescent="0.25">
      <c r="B14" s="80">
        <v>42831</v>
      </c>
      <c r="C14" s="81">
        <v>0.29375000000000001</v>
      </c>
      <c r="D14" s="81">
        <v>0.22916666666666666</v>
      </c>
      <c r="E14" s="78"/>
      <c r="F14" s="79"/>
      <c r="H14" s="6">
        <v>42831</v>
      </c>
      <c r="I14" s="77">
        <v>0.25486111111111109</v>
      </c>
      <c r="J14" s="77">
        <v>0.31527777777777777</v>
      </c>
      <c r="K14" s="3"/>
      <c r="L14" s="77">
        <v>0.37013888888888885</v>
      </c>
      <c r="M14" s="77">
        <v>0.25</v>
      </c>
      <c r="N14" s="3"/>
    </row>
    <row r="15" spans="2:14" ht="15.75" x14ac:dyDescent="0.25">
      <c r="B15" s="80">
        <v>42832</v>
      </c>
      <c r="C15" s="81">
        <v>0.26458333333333334</v>
      </c>
      <c r="D15" s="81">
        <v>0.23263888888888887</v>
      </c>
      <c r="E15" s="78"/>
      <c r="F15" s="79"/>
      <c r="H15" s="6">
        <v>42832</v>
      </c>
      <c r="I15" s="77">
        <v>0.25</v>
      </c>
      <c r="J15" s="77">
        <v>0.35416666666666669</v>
      </c>
      <c r="K15" s="3"/>
      <c r="L15" s="77">
        <v>0.35972222222222222</v>
      </c>
      <c r="M15" s="77">
        <v>0.25416666666666665</v>
      </c>
      <c r="N15" s="3"/>
    </row>
    <row r="16" spans="2:14" ht="15.75" x14ac:dyDescent="0.25">
      <c r="B16" s="80">
        <v>42833</v>
      </c>
      <c r="C16" s="81">
        <v>0.26041666666666669</v>
      </c>
      <c r="D16" s="81">
        <v>0.22916666666666666</v>
      </c>
      <c r="E16" s="78"/>
      <c r="F16" s="79"/>
      <c r="H16" s="6">
        <v>42833</v>
      </c>
      <c r="I16" s="3"/>
      <c r="J16" s="3"/>
      <c r="K16" s="3"/>
      <c r="L16" s="77" t="s">
        <v>2</v>
      </c>
      <c r="M16" s="77" t="s">
        <v>2</v>
      </c>
      <c r="N16" s="3"/>
    </row>
    <row r="17" spans="2:14" ht="15.75" x14ac:dyDescent="0.25">
      <c r="B17" s="80">
        <v>42834</v>
      </c>
      <c r="C17" s="78"/>
      <c r="D17" s="78"/>
      <c r="E17" s="78"/>
      <c r="F17" s="79"/>
      <c r="H17" s="6">
        <v>42834</v>
      </c>
      <c r="I17" s="3"/>
      <c r="J17" s="3"/>
      <c r="K17" s="3"/>
      <c r="L17" s="3"/>
      <c r="M17" s="3"/>
      <c r="N17" s="3"/>
    </row>
    <row r="18" spans="2:14" ht="15.75" x14ac:dyDescent="0.25">
      <c r="B18" s="80">
        <v>42835</v>
      </c>
      <c r="C18" s="81">
        <v>0.25347222222222221</v>
      </c>
      <c r="D18" s="81">
        <v>0.2298611111111111</v>
      </c>
      <c r="E18" s="78"/>
      <c r="F18" s="79"/>
      <c r="H18" s="6">
        <v>42835</v>
      </c>
      <c r="I18" s="77">
        <v>0.25</v>
      </c>
      <c r="J18" s="77">
        <v>0.3125</v>
      </c>
      <c r="K18" s="3"/>
      <c r="L18" s="77">
        <v>0.3527777777777778</v>
      </c>
      <c r="M18" s="77">
        <v>0.25</v>
      </c>
      <c r="N18" s="3"/>
    </row>
    <row r="19" spans="2:14" ht="15.75" x14ac:dyDescent="0.25">
      <c r="B19" s="80">
        <v>42836</v>
      </c>
      <c r="C19" s="81">
        <v>0.26111111111111113</v>
      </c>
      <c r="D19" s="81">
        <v>0.2298611111111111</v>
      </c>
      <c r="E19" s="78"/>
      <c r="F19" s="79"/>
      <c r="H19" s="6">
        <v>42836</v>
      </c>
      <c r="I19" s="77">
        <v>0.25208333333333333</v>
      </c>
      <c r="J19" s="77">
        <v>0.31597222222222221</v>
      </c>
      <c r="K19" s="3"/>
      <c r="L19" s="77">
        <v>0.35625000000000001</v>
      </c>
      <c r="M19" s="77">
        <v>0.25</v>
      </c>
      <c r="N19" s="3"/>
    </row>
    <row r="20" spans="2:14" ht="15.75" x14ac:dyDescent="0.25">
      <c r="B20" s="80">
        <v>42837</v>
      </c>
      <c r="C20" s="81">
        <v>0.23958333333333334</v>
      </c>
      <c r="D20" s="78"/>
      <c r="E20" s="78"/>
      <c r="F20" s="79"/>
      <c r="H20" s="6">
        <v>42837</v>
      </c>
      <c r="I20" s="77">
        <v>0.25694444444444448</v>
      </c>
      <c r="J20" s="77">
        <v>0.35972222222222222</v>
      </c>
      <c r="K20" s="3"/>
      <c r="L20" s="77">
        <v>0.3659722222222222</v>
      </c>
      <c r="M20" s="77">
        <v>8.4722222222222213E-2</v>
      </c>
      <c r="N20" s="3"/>
    </row>
    <row r="21" spans="2:14" ht="15.75" x14ac:dyDescent="0.25">
      <c r="B21" s="80">
        <v>42838</v>
      </c>
      <c r="C21" s="78"/>
      <c r="D21" s="78"/>
      <c r="E21" s="78"/>
      <c r="F21" s="79"/>
      <c r="H21" s="6">
        <v>42838</v>
      </c>
      <c r="I21" s="3"/>
      <c r="J21" s="3"/>
      <c r="K21" s="3"/>
      <c r="L21" s="3"/>
      <c r="M21" s="3"/>
      <c r="N21" s="3"/>
    </row>
    <row r="22" spans="2:14" ht="15.75" x14ac:dyDescent="0.25">
      <c r="B22" s="80">
        <v>42839</v>
      </c>
      <c r="C22" s="78"/>
      <c r="D22" s="78"/>
      <c r="E22" s="78"/>
      <c r="F22" s="79"/>
      <c r="H22" s="6">
        <v>42839</v>
      </c>
      <c r="I22" s="3"/>
      <c r="J22" s="3"/>
      <c r="K22" s="3"/>
      <c r="L22" s="3"/>
      <c r="M22" s="3"/>
      <c r="N22" s="3"/>
    </row>
    <row r="23" spans="2:14" ht="15.75" x14ac:dyDescent="0.25">
      <c r="B23" s="80">
        <v>42840</v>
      </c>
      <c r="C23" s="78"/>
      <c r="D23" s="78"/>
      <c r="E23" s="78"/>
      <c r="F23" s="79"/>
      <c r="H23" s="6">
        <v>42840</v>
      </c>
      <c r="I23" s="3"/>
      <c r="J23" s="3"/>
      <c r="K23" s="3"/>
      <c r="L23" s="3"/>
      <c r="M23" s="3"/>
      <c r="N23" s="3"/>
    </row>
    <row r="24" spans="2:14" ht="15.75" x14ac:dyDescent="0.25">
      <c r="B24" s="80">
        <v>42841</v>
      </c>
      <c r="C24" s="78"/>
      <c r="D24" s="78"/>
      <c r="E24" s="78"/>
      <c r="F24" s="79"/>
      <c r="H24" s="6">
        <v>42841</v>
      </c>
      <c r="I24" s="3"/>
      <c r="J24" s="3"/>
      <c r="K24" s="3"/>
      <c r="L24" s="3"/>
      <c r="M24" s="3"/>
      <c r="N24" s="3"/>
    </row>
    <row r="25" spans="2:14" ht="15.75" x14ac:dyDescent="0.25">
      <c r="B25" s="80">
        <v>42842</v>
      </c>
      <c r="C25" s="81">
        <v>0.25</v>
      </c>
      <c r="D25" s="81">
        <v>0.2298611111111111</v>
      </c>
      <c r="E25" s="78"/>
      <c r="F25" s="79"/>
      <c r="H25" s="6">
        <v>42842</v>
      </c>
      <c r="I25" s="3"/>
      <c r="J25" s="3"/>
      <c r="K25" s="3"/>
      <c r="L25" s="3"/>
      <c r="M25" s="3"/>
      <c r="N25" s="3"/>
    </row>
    <row r="26" spans="2:14" ht="15.75" x14ac:dyDescent="0.25">
      <c r="B26" s="80">
        <v>42843</v>
      </c>
      <c r="C26" s="81">
        <v>0.20138888888888887</v>
      </c>
      <c r="D26" s="81">
        <v>0.2298611111111111</v>
      </c>
      <c r="E26" s="78"/>
      <c r="F26" s="79"/>
      <c r="H26" s="6">
        <v>42843</v>
      </c>
      <c r="I26" s="77">
        <v>0.25694444444444448</v>
      </c>
      <c r="J26" s="77">
        <v>0.3520833333333333</v>
      </c>
      <c r="K26" s="3"/>
      <c r="L26" s="77">
        <v>0.35416666666666669</v>
      </c>
      <c r="M26" s="77">
        <v>0.25069444444444444</v>
      </c>
      <c r="N26" s="3"/>
    </row>
    <row r="27" spans="2:14" ht="15.75" x14ac:dyDescent="0.25">
      <c r="B27" s="80">
        <v>42844</v>
      </c>
      <c r="C27" s="81">
        <v>0.25</v>
      </c>
      <c r="D27" s="81">
        <v>0.2298611111111111</v>
      </c>
      <c r="E27" s="78"/>
      <c r="F27" s="79"/>
      <c r="H27" s="6">
        <v>42844</v>
      </c>
      <c r="I27" s="77">
        <v>0.25416666666666665</v>
      </c>
      <c r="J27" s="77">
        <v>0.35138888888888892</v>
      </c>
      <c r="K27" s="3"/>
      <c r="L27" s="77">
        <v>0.3520833333333333</v>
      </c>
      <c r="M27" s="77">
        <v>0.25</v>
      </c>
      <c r="N27" s="3"/>
    </row>
    <row r="28" spans="2:14" ht="15.75" x14ac:dyDescent="0.25">
      <c r="B28" s="80">
        <v>42845</v>
      </c>
      <c r="C28" s="81">
        <v>0.17152777777777775</v>
      </c>
      <c r="D28" s="81">
        <v>0.23680555555555557</v>
      </c>
      <c r="E28" s="78"/>
      <c r="F28" s="79"/>
      <c r="H28" s="6">
        <v>42845</v>
      </c>
      <c r="I28" s="77">
        <v>0.25694444444444448</v>
      </c>
      <c r="J28" s="77">
        <v>0.3354166666666667</v>
      </c>
      <c r="K28" s="3"/>
      <c r="L28" s="77">
        <v>0.34236111111111112</v>
      </c>
      <c r="M28" s="77">
        <v>0.25069444444444444</v>
      </c>
      <c r="N28" s="3"/>
    </row>
    <row r="29" spans="2:14" ht="15.75" x14ac:dyDescent="0.25">
      <c r="B29" s="80">
        <v>42846</v>
      </c>
      <c r="C29" s="81">
        <v>0.2298611111111111</v>
      </c>
      <c r="D29" s="81">
        <v>0.23194444444444443</v>
      </c>
      <c r="E29" s="78"/>
      <c r="F29" s="79"/>
      <c r="H29" s="6">
        <v>42846</v>
      </c>
      <c r="I29" s="77">
        <v>0.25625000000000003</v>
      </c>
      <c r="J29" s="77">
        <v>0.35138888888888892</v>
      </c>
      <c r="K29" s="3"/>
      <c r="L29" s="77">
        <v>0.35694444444444445</v>
      </c>
      <c r="M29" s="77">
        <v>0.25069444444444444</v>
      </c>
      <c r="N29" s="3"/>
    </row>
    <row r="30" spans="2:14" ht="15.75" x14ac:dyDescent="0.25">
      <c r="B30" s="80">
        <v>42847</v>
      </c>
      <c r="C30" s="81">
        <v>0.24583333333333335</v>
      </c>
      <c r="D30" s="81">
        <v>0.2298611111111111</v>
      </c>
      <c r="E30" s="78"/>
      <c r="F30" s="79"/>
      <c r="H30" s="6">
        <v>42847</v>
      </c>
      <c r="I30" s="3"/>
      <c r="J30" s="3"/>
      <c r="K30" s="3"/>
      <c r="L30" s="77">
        <v>0.28750000000000003</v>
      </c>
      <c r="M30" s="77">
        <v>0.27291666666666664</v>
      </c>
      <c r="N30" s="3"/>
    </row>
    <row r="31" spans="2:14" ht="15.75" x14ac:dyDescent="0.25">
      <c r="B31" s="80">
        <v>42848</v>
      </c>
      <c r="C31" s="78"/>
      <c r="D31" s="78"/>
      <c r="E31" s="78"/>
      <c r="F31" s="79"/>
      <c r="H31" s="6">
        <v>42848</v>
      </c>
      <c r="I31" s="3"/>
      <c r="J31" s="3"/>
      <c r="K31" s="3"/>
      <c r="L31" s="77" t="s">
        <v>2</v>
      </c>
      <c r="M31" s="77" t="s">
        <v>2</v>
      </c>
      <c r="N31" s="3"/>
    </row>
    <row r="32" spans="2:14" ht="15.75" x14ac:dyDescent="0.25">
      <c r="B32" s="80">
        <v>42849</v>
      </c>
      <c r="C32" s="81">
        <v>0.25069444444444444</v>
      </c>
      <c r="D32" s="81">
        <v>0.23124999999999998</v>
      </c>
      <c r="E32" s="78"/>
      <c r="F32" s="79"/>
      <c r="H32" s="6">
        <v>42849</v>
      </c>
      <c r="I32" s="77">
        <v>0.25277777777777777</v>
      </c>
      <c r="J32" s="77">
        <v>0.34375</v>
      </c>
      <c r="K32" s="3"/>
      <c r="L32" s="77">
        <v>0.34375</v>
      </c>
      <c r="M32" s="77">
        <v>0.25</v>
      </c>
      <c r="N32" s="3"/>
    </row>
    <row r="33" spans="2:17" ht="15.75" x14ac:dyDescent="0.25">
      <c r="B33" s="80">
        <v>42850</v>
      </c>
      <c r="C33" s="81">
        <v>0.25694444444444448</v>
      </c>
      <c r="D33" s="81">
        <v>0.23819444444444446</v>
      </c>
      <c r="E33" s="78"/>
      <c r="F33" s="79"/>
      <c r="H33" s="6">
        <v>42850</v>
      </c>
      <c r="I33" s="77">
        <v>0.25694444444444448</v>
      </c>
      <c r="J33" s="77">
        <v>0.35347222222222219</v>
      </c>
      <c r="K33" s="3"/>
      <c r="L33" s="77">
        <v>0.35347222222222219</v>
      </c>
      <c r="M33" s="77">
        <v>0.25</v>
      </c>
      <c r="N33" s="3"/>
    </row>
    <row r="34" spans="2:17" ht="15.75" x14ac:dyDescent="0.25">
      <c r="B34" s="80">
        <v>42851</v>
      </c>
      <c r="C34" s="81">
        <v>0.2638888888888889</v>
      </c>
      <c r="D34" s="81">
        <v>0.23680555555555557</v>
      </c>
      <c r="E34" s="78"/>
      <c r="F34" s="79"/>
      <c r="H34" s="6">
        <v>42851</v>
      </c>
      <c r="I34" s="77">
        <v>0.2590277777777778</v>
      </c>
      <c r="J34" s="77">
        <v>0.31597222222222221</v>
      </c>
      <c r="K34" s="3"/>
      <c r="L34" s="77">
        <v>0.35555555555555557</v>
      </c>
      <c r="M34" s="77">
        <v>0.25</v>
      </c>
      <c r="N34" s="3"/>
    </row>
    <row r="35" spans="2:17" ht="15.75" x14ac:dyDescent="0.25">
      <c r="B35" s="80">
        <v>42852</v>
      </c>
      <c r="C35" s="81">
        <v>0.29444444444444445</v>
      </c>
      <c r="D35" s="81">
        <v>0.23611111111111113</v>
      </c>
      <c r="E35" s="78"/>
      <c r="F35" s="79"/>
      <c r="H35" s="6">
        <v>42852</v>
      </c>
      <c r="I35" s="77">
        <v>0.25347222222222221</v>
      </c>
      <c r="J35" s="77">
        <v>0.31319444444444444</v>
      </c>
      <c r="K35" s="3"/>
      <c r="L35" s="77">
        <v>0.35138888888888892</v>
      </c>
      <c r="M35" s="77">
        <v>0.25763888888888892</v>
      </c>
      <c r="N35" s="3"/>
    </row>
    <row r="36" spans="2:17" ht="15.75" x14ac:dyDescent="0.25">
      <c r="B36" s="80" t="s">
        <v>2</v>
      </c>
      <c r="C36" s="78"/>
      <c r="D36" s="78"/>
      <c r="E36" s="78"/>
      <c r="F36" s="79"/>
      <c r="H36" s="6" t="s">
        <v>2</v>
      </c>
      <c r="I36" s="3"/>
      <c r="J36" s="3"/>
      <c r="K36" s="3"/>
      <c r="L36" s="3"/>
      <c r="M36" s="3"/>
      <c r="N36" s="3"/>
    </row>
    <row r="37" spans="2:17" x14ac:dyDescent="0.25"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</row>
    <row r="39" spans="2:17" ht="18.75" x14ac:dyDescent="0.3">
      <c r="B39" s="87">
        <v>601012</v>
      </c>
      <c r="C39" s="87" t="s">
        <v>96</v>
      </c>
      <c r="D39" s="87"/>
      <c r="E39" s="87"/>
      <c r="K39" s="78">
        <v>601004</v>
      </c>
      <c r="L39" s="78"/>
      <c r="M39" s="78" t="s">
        <v>97</v>
      </c>
      <c r="N39" s="78"/>
      <c r="O39" s="78"/>
    </row>
    <row r="40" spans="2:17" ht="18.75" x14ac:dyDescent="0.3">
      <c r="B40" s="87"/>
      <c r="C40" s="87" t="s">
        <v>92</v>
      </c>
      <c r="D40" s="87" t="s">
        <v>93</v>
      </c>
      <c r="E40" s="87"/>
      <c r="K40" s="78"/>
      <c r="L40" s="78"/>
      <c r="M40" s="78" t="s">
        <v>92</v>
      </c>
      <c r="N40" s="78" t="s">
        <v>93</v>
      </c>
      <c r="O40" s="78"/>
    </row>
    <row r="41" spans="2:17" ht="18.75" x14ac:dyDescent="0.3">
      <c r="B41" s="90">
        <v>42822</v>
      </c>
      <c r="C41" s="91">
        <v>0.32361111111111113</v>
      </c>
      <c r="D41" s="91">
        <v>0.20833333333333334</v>
      </c>
      <c r="E41" s="87"/>
      <c r="K41" s="78"/>
      <c r="L41" s="80">
        <v>42822</v>
      </c>
      <c r="M41" s="81">
        <v>0.33333333333333331</v>
      </c>
      <c r="N41" s="81">
        <v>0.20833333333333334</v>
      </c>
      <c r="O41" s="78"/>
    </row>
    <row r="42" spans="2:17" ht="18.75" x14ac:dyDescent="0.3">
      <c r="B42" s="90">
        <v>42823</v>
      </c>
      <c r="C42" s="91">
        <v>0.3298611111111111</v>
      </c>
      <c r="D42" s="91">
        <v>0.20833333333333334</v>
      </c>
      <c r="E42" s="87"/>
      <c r="K42" s="78"/>
      <c r="L42" s="80">
        <v>42823</v>
      </c>
      <c r="M42" s="81">
        <v>0.33333333333333331</v>
      </c>
      <c r="N42" s="81">
        <v>0.20833333333333334</v>
      </c>
      <c r="O42" s="78"/>
    </row>
    <row r="43" spans="2:17" ht="18.75" x14ac:dyDescent="0.3">
      <c r="B43" s="90">
        <v>42824</v>
      </c>
      <c r="C43" s="91">
        <v>0.33194444444444443</v>
      </c>
      <c r="D43" s="91">
        <v>0.20833333333333334</v>
      </c>
      <c r="E43" s="87"/>
      <c r="K43" s="78"/>
      <c r="L43" s="80">
        <v>42824</v>
      </c>
      <c r="M43" s="81">
        <v>0.32222222222222224</v>
      </c>
      <c r="N43" s="81">
        <v>0.20833333333333334</v>
      </c>
      <c r="O43" s="78"/>
    </row>
    <row r="44" spans="2:17" ht="18.75" x14ac:dyDescent="0.3">
      <c r="B44" s="90">
        <v>42825</v>
      </c>
      <c r="C44" s="91">
        <v>0.3263888888888889</v>
      </c>
      <c r="D44" s="91">
        <v>0.21666666666666667</v>
      </c>
      <c r="E44" s="87"/>
      <c r="K44" s="78"/>
      <c r="L44" s="80">
        <v>42825</v>
      </c>
      <c r="M44" s="81">
        <v>0.3444444444444445</v>
      </c>
      <c r="N44" s="81">
        <v>0.20833333333333334</v>
      </c>
      <c r="O44" s="78"/>
    </row>
    <row r="45" spans="2:17" ht="18.75" x14ac:dyDescent="0.3">
      <c r="B45" s="90">
        <v>42826</v>
      </c>
      <c r="C45" s="91">
        <v>0.33124999999999999</v>
      </c>
      <c r="D45" s="91">
        <v>0.21041666666666667</v>
      </c>
      <c r="E45" s="87"/>
      <c r="K45" s="78"/>
      <c r="L45" s="80">
        <v>42826</v>
      </c>
      <c r="M45" s="81">
        <v>0.32222222222222224</v>
      </c>
      <c r="N45" s="81">
        <v>0.20833333333333334</v>
      </c>
      <c r="O45" s="78"/>
    </row>
    <row r="46" spans="2:17" ht="18.75" x14ac:dyDescent="0.3">
      <c r="B46" s="90">
        <v>42827</v>
      </c>
      <c r="C46" s="87"/>
      <c r="D46" s="87"/>
      <c r="E46" s="87"/>
      <c r="K46" s="78"/>
      <c r="L46" s="80">
        <v>42827</v>
      </c>
      <c r="M46" s="78"/>
      <c r="N46" s="78"/>
      <c r="O46" s="78"/>
    </row>
    <row r="47" spans="2:17" ht="18.75" x14ac:dyDescent="0.3">
      <c r="B47" s="90">
        <v>42828</v>
      </c>
      <c r="C47" s="91">
        <v>0.32569444444444445</v>
      </c>
      <c r="D47" s="91">
        <v>0.20833333333333334</v>
      </c>
      <c r="E47" s="87"/>
      <c r="K47" s="78"/>
      <c r="L47" s="80">
        <v>42828</v>
      </c>
      <c r="M47" s="81">
        <v>0.33333333333333331</v>
      </c>
      <c r="N47" s="81">
        <v>0.20833333333333334</v>
      </c>
      <c r="O47" s="78"/>
    </row>
    <row r="48" spans="2:17" ht="18.75" x14ac:dyDescent="0.3">
      <c r="B48" s="90">
        <v>42829</v>
      </c>
      <c r="C48" s="91">
        <v>0.33333333333333331</v>
      </c>
      <c r="D48" s="91">
        <v>0.21041666666666667</v>
      </c>
      <c r="E48" s="87"/>
      <c r="K48" s="78"/>
      <c r="L48" s="80">
        <v>42829</v>
      </c>
      <c r="M48" s="81">
        <v>0.33333333333333331</v>
      </c>
      <c r="N48" s="81">
        <v>0.20833333333333334</v>
      </c>
      <c r="O48" s="78"/>
    </row>
    <row r="49" spans="2:15" ht="18.75" x14ac:dyDescent="0.3">
      <c r="B49" s="90">
        <v>42830</v>
      </c>
      <c r="C49" s="91">
        <v>0.33124999999999999</v>
      </c>
      <c r="D49" s="91">
        <v>0.21111111111111111</v>
      </c>
      <c r="E49" s="87"/>
      <c r="K49" s="78"/>
      <c r="L49" s="80">
        <v>42830</v>
      </c>
      <c r="M49" s="81" t="s">
        <v>2</v>
      </c>
      <c r="N49" s="81" t="s">
        <v>2</v>
      </c>
      <c r="O49" s="78"/>
    </row>
    <row r="50" spans="2:15" ht="18.75" x14ac:dyDescent="0.3">
      <c r="B50" s="90">
        <v>42831</v>
      </c>
      <c r="C50" s="91">
        <v>0.35416666666666669</v>
      </c>
      <c r="D50" s="91">
        <v>0.21180555555555555</v>
      </c>
      <c r="E50" s="87"/>
      <c r="K50" s="78"/>
      <c r="L50" s="80">
        <v>42831</v>
      </c>
      <c r="M50" s="81" t="s">
        <v>2</v>
      </c>
      <c r="N50" s="81" t="s">
        <v>2</v>
      </c>
      <c r="O50" s="78"/>
    </row>
    <row r="51" spans="2:15" ht="18.75" x14ac:dyDescent="0.3">
      <c r="B51" s="90">
        <v>42832</v>
      </c>
      <c r="C51" s="91">
        <v>0.33958333333333335</v>
      </c>
      <c r="D51" s="91">
        <v>0.22500000000000001</v>
      </c>
      <c r="E51" s="87"/>
      <c r="K51" s="78"/>
      <c r="L51" s="80">
        <v>42832</v>
      </c>
      <c r="M51" s="81">
        <v>0.3354166666666667</v>
      </c>
      <c r="N51" s="81">
        <v>0.20833333333333334</v>
      </c>
      <c r="O51" s="78"/>
    </row>
    <row r="52" spans="2:15" ht="18.75" x14ac:dyDescent="0.3">
      <c r="B52" s="90">
        <v>42833</v>
      </c>
      <c r="C52" s="91">
        <v>0.31666666666666665</v>
      </c>
      <c r="D52" s="91">
        <v>0.20902777777777778</v>
      </c>
      <c r="E52" s="87"/>
      <c r="K52" s="78"/>
      <c r="L52" s="80">
        <v>42833</v>
      </c>
      <c r="M52" s="81">
        <v>0.34513888888888888</v>
      </c>
      <c r="N52" s="81">
        <v>0.20833333333333334</v>
      </c>
      <c r="O52" s="78"/>
    </row>
    <row r="53" spans="2:15" ht="18.75" x14ac:dyDescent="0.3">
      <c r="B53" s="90">
        <v>42834</v>
      </c>
      <c r="C53" s="87"/>
      <c r="D53" s="87"/>
      <c r="E53" s="87"/>
      <c r="K53" s="78"/>
      <c r="L53" s="80">
        <v>42834</v>
      </c>
      <c r="M53" s="78"/>
      <c r="N53" s="78"/>
      <c r="O53" s="78"/>
    </row>
    <row r="54" spans="2:15" ht="18.75" x14ac:dyDescent="0.3">
      <c r="B54" s="90">
        <v>42835</v>
      </c>
      <c r="C54" s="91">
        <v>0.31944444444444448</v>
      </c>
      <c r="D54" s="91">
        <v>0.21041666666666667</v>
      </c>
      <c r="E54" s="87"/>
      <c r="K54" s="78"/>
      <c r="L54" s="80">
        <v>42835</v>
      </c>
      <c r="M54" s="81">
        <v>0.29097222222222224</v>
      </c>
      <c r="N54" s="81">
        <v>0.20833333333333334</v>
      </c>
      <c r="O54" s="78"/>
    </row>
    <row r="55" spans="2:15" ht="18.75" x14ac:dyDescent="0.3">
      <c r="B55" s="90">
        <v>42836</v>
      </c>
      <c r="C55" s="91">
        <v>0.32291666666666669</v>
      </c>
      <c r="D55" s="91">
        <v>0.20833333333333334</v>
      </c>
      <c r="E55" s="87"/>
      <c r="K55" s="78"/>
      <c r="L55" s="80">
        <v>42836</v>
      </c>
      <c r="M55" s="81">
        <v>0.31111111111111112</v>
      </c>
      <c r="N55" s="81">
        <v>0.20833333333333334</v>
      </c>
      <c r="O55" s="78"/>
    </row>
    <row r="56" spans="2:15" ht="18.75" x14ac:dyDescent="0.3">
      <c r="B56" s="90">
        <v>42837</v>
      </c>
      <c r="C56" s="91">
        <v>0.34027777777777773</v>
      </c>
      <c r="D56" s="87"/>
      <c r="E56" s="87"/>
      <c r="K56" s="78"/>
      <c r="L56" s="80">
        <v>42837</v>
      </c>
      <c r="M56" s="81">
        <v>0.33402777777777781</v>
      </c>
      <c r="N56" s="78"/>
      <c r="O56" s="78"/>
    </row>
    <row r="57" spans="2:15" ht="18.75" x14ac:dyDescent="0.3">
      <c r="B57" s="90">
        <v>42838</v>
      </c>
      <c r="C57" s="87"/>
      <c r="D57" s="87"/>
      <c r="E57" s="87"/>
      <c r="K57" s="78"/>
      <c r="L57" s="80">
        <v>42838</v>
      </c>
      <c r="M57" s="78"/>
      <c r="N57" s="78"/>
      <c r="O57" s="78"/>
    </row>
    <row r="58" spans="2:15" ht="18.75" x14ac:dyDescent="0.3">
      <c r="B58" s="90">
        <v>42839</v>
      </c>
      <c r="C58" s="87"/>
      <c r="D58" s="87"/>
      <c r="E58" s="87"/>
      <c r="K58" s="78"/>
      <c r="L58" s="80">
        <v>42839</v>
      </c>
      <c r="M58" s="78"/>
      <c r="N58" s="78"/>
      <c r="O58" s="78"/>
    </row>
    <row r="59" spans="2:15" ht="18.75" x14ac:dyDescent="0.3">
      <c r="B59" s="90">
        <v>42840</v>
      </c>
      <c r="C59" s="87"/>
      <c r="D59" s="87"/>
      <c r="E59" s="87"/>
      <c r="K59" s="78"/>
      <c r="L59" s="80">
        <v>42840</v>
      </c>
      <c r="M59" s="78"/>
      <c r="N59" s="78"/>
      <c r="O59" s="78"/>
    </row>
    <row r="60" spans="2:15" ht="18.75" x14ac:dyDescent="0.3">
      <c r="B60" s="90">
        <v>42841</v>
      </c>
      <c r="C60" s="87"/>
      <c r="D60" s="87"/>
      <c r="E60" s="87"/>
      <c r="K60" s="78"/>
      <c r="L60" s="80">
        <v>42841</v>
      </c>
      <c r="M60" s="78"/>
      <c r="N60" s="78"/>
      <c r="O60" s="78"/>
    </row>
    <row r="61" spans="2:15" ht="18.75" x14ac:dyDescent="0.3">
      <c r="B61" s="90">
        <v>42842</v>
      </c>
      <c r="C61" s="91">
        <v>0.33958333333333335</v>
      </c>
      <c r="D61" s="91">
        <v>0.21180555555555555</v>
      </c>
      <c r="E61" s="87"/>
      <c r="K61" s="78"/>
      <c r="L61" s="80">
        <v>42842</v>
      </c>
      <c r="M61" s="81">
        <v>0.31319444444444444</v>
      </c>
      <c r="N61" s="81">
        <v>0.20833333333333334</v>
      </c>
      <c r="O61" s="78"/>
    </row>
    <row r="62" spans="2:15" ht="18.75" x14ac:dyDescent="0.3">
      <c r="B62" s="90">
        <v>42843</v>
      </c>
      <c r="C62" s="91">
        <v>0.33055555555555555</v>
      </c>
      <c r="D62" s="91">
        <v>0.20833333333333334</v>
      </c>
      <c r="E62" s="87"/>
      <c r="K62" s="78"/>
      <c r="L62" s="80">
        <v>42843</v>
      </c>
      <c r="M62" s="81">
        <v>0.31944444444444448</v>
      </c>
      <c r="N62" s="81">
        <v>0.21527777777777779</v>
      </c>
      <c r="O62" s="78"/>
    </row>
    <row r="63" spans="2:15" ht="18.75" x14ac:dyDescent="0.3">
      <c r="B63" s="90">
        <v>42844</v>
      </c>
      <c r="C63" s="91">
        <v>0.32847222222222222</v>
      </c>
      <c r="D63" s="91">
        <v>0.21180555555555555</v>
      </c>
      <c r="E63" s="87"/>
      <c r="K63" s="78"/>
      <c r="L63" s="80">
        <v>42844</v>
      </c>
      <c r="M63" s="81">
        <v>0.32500000000000001</v>
      </c>
      <c r="N63" s="81">
        <v>0.20833333333333334</v>
      </c>
      <c r="O63" s="78"/>
    </row>
    <row r="64" spans="2:15" ht="18.75" x14ac:dyDescent="0.3">
      <c r="B64" s="90">
        <v>42845</v>
      </c>
      <c r="C64" s="91">
        <v>0.34513888888888888</v>
      </c>
      <c r="D64" s="91">
        <v>0.21527777777777779</v>
      </c>
      <c r="E64" s="87"/>
      <c r="K64" s="78"/>
      <c r="L64" s="80">
        <v>42845</v>
      </c>
      <c r="M64" s="81">
        <v>0.33124999999999999</v>
      </c>
      <c r="N64" s="81">
        <v>0.20833333333333334</v>
      </c>
      <c r="O64" s="78"/>
    </row>
    <row r="65" spans="2:18" ht="18.75" x14ac:dyDescent="0.3">
      <c r="B65" s="90">
        <v>42846</v>
      </c>
      <c r="C65" s="91">
        <v>0.33680555555555558</v>
      </c>
      <c r="D65" s="91">
        <v>0.21388888888888891</v>
      </c>
      <c r="E65" s="87"/>
      <c r="K65" s="78"/>
      <c r="L65" s="80">
        <v>42846</v>
      </c>
      <c r="M65" s="81">
        <v>0.3263888888888889</v>
      </c>
      <c r="N65" s="81">
        <v>0.20833333333333334</v>
      </c>
      <c r="O65" s="78"/>
    </row>
    <row r="66" spans="2:18" ht="18.75" x14ac:dyDescent="0.3">
      <c r="B66" s="90">
        <v>42847</v>
      </c>
      <c r="C66" s="91">
        <v>0.32083333333333336</v>
      </c>
      <c r="D66" s="91">
        <v>0.20972222222222223</v>
      </c>
      <c r="E66" s="87"/>
      <c r="K66" s="78"/>
      <c r="L66" s="80">
        <v>42847</v>
      </c>
      <c r="M66" s="81">
        <v>0.33680555555555558</v>
      </c>
      <c r="N66" s="81">
        <v>0.20833333333333334</v>
      </c>
      <c r="O66" s="78"/>
    </row>
    <row r="67" spans="2:18" ht="18.75" x14ac:dyDescent="0.3">
      <c r="B67" s="90">
        <v>42848</v>
      </c>
      <c r="C67" s="87"/>
      <c r="D67" s="87"/>
      <c r="E67" s="87"/>
      <c r="K67" s="78"/>
      <c r="L67" s="80">
        <v>42848</v>
      </c>
      <c r="M67" s="78"/>
      <c r="N67" s="78"/>
      <c r="O67" s="78"/>
    </row>
    <row r="68" spans="2:18" ht="18.75" x14ac:dyDescent="0.3">
      <c r="B68" s="90">
        <v>42849</v>
      </c>
      <c r="C68" s="91">
        <v>0.33055555555555555</v>
      </c>
      <c r="D68" s="91">
        <v>0.21180555555555555</v>
      </c>
      <c r="E68" s="87"/>
      <c r="K68" s="78"/>
      <c r="L68" s="80">
        <v>42849</v>
      </c>
      <c r="M68" s="81">
        <v>0.35138888888888892</v>
      </c>
      <c r="N68" s="81">
        <v>0.20902777777777778</v>
      </c>
      <c r="O68" s="78"/>
    </row>
    <row r="69" spans="2:18" ht="18.75" x14ac:dyDescent="0.3">
      <c r="B69" s="90">
        <v>42850</v>
      </c>
      <c r="C69" s="91">
        <v>0</v>
      </c>
      <c r="D69" s="91">
        <v>0</v>
      </c>
      <c r="E69" s="87"/>
      <c r="K69" s="78"/>
      <c r="L69" s="80">
        <v>42850</v>
      </c>
      <c r="M69" s="81">
        <v>0.30277777777777776</v>
      </c>
      <c r="N69" s="81">
        <v>0.20833333333333334</v>
      </c>
      <c r="O69" s="78"/>
    </row>
    <row r="70" spans="2:18" ht="18.75" x14ac:dyDescent="0.3">
      <c r="B70" s="90">
        <v>42851</v>
      </c>
      <c r="C70" s="91">
        <v>0.33055555555555555</v>
      </c>
      <c r="D70" s="91">
        <v>0.20972222222222223</v>
      </c>
      <c r="E70" s="87"/>
      <c r="K70" s="78"/>
      <c r="L70" s="80">
        <v>42851</v>
      </c>
      <c r="M70" s="81">
        <v>0.30555555555555552</v>
      </c>
      <c r="N70" s="81">
        <v>0.20833333333333334</v>
      </c>
      <c r="O70" s="78"/>
    </row>
    <row r="71" spans="2:18" ht="18.75" x14ac:dyDescent="0.3">
      <c r="B71" s="90">
        <v>42852</v>
      </c>
      <c r="C71" s="91">
        <v>0.32777777777777778</v>
      </c>
      <c r="D71" s="91">
        <v>0.20833333333333334</v>
      </c>
      <c r="E71" s="87"/>
      <c r="K71" s="78"/>
      <c r="L71" s="80">
        <v>42852</v>
      </c>
      <c r="M71" s="81">
        <v>0.31666666666666665</v>
      </c>
      <c r="N71" s="81">
        <v>0.20833333333333334</v>
      </c>
      <c r="O71" s="78"/>
    </row>
    <row r="72" spans="2:18" ht="18.75" x14ac:dyDescent="0.3">
      <c r="B72" s="90" t="s">
        <v>2</v>
      </c>
      <c r="C72" s="87"/>
      <c r="D72" s="87"/>
      <c r="E72" s="87"/>
      <c r="K72" s="78"/>
      <c r="L72" s="80" t="s">
        <v>2</v>
      </c>
      <c r="M72" s="78"/>
      <c r="N72" s="78"/>
      <c r="O72" s="78"/>
    </row>
    <row r="73" spans="2:18" ht="18.75" x14ac:dyDescent="0.3">
      <c r="B73" s="106"/>
      <c r="C73" s="106"/>
      <c r="D73" s="106"/>
      <c r="E73" s="106"/>
      <c r="K73" s="78"/>
      <c r="L73" s="78"/>
      <c r="M73" s="78"/>
      <c r="N73" s="78"/>
      <c r="O73" s="78"/>
    </row>
    <row r="75" spans="2:18" x14ac:dyDescent="0.25"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</row>
    <row r="77" spans="2:18" x14ac:dyDescent="0.25">
      <c r="C77" t="s">
        <v>101</v>
      </c>
      <c r="L77" t="s">
        <v>101</v>
      </c>
    </row>
    <row r="78" spans="2:18" ht="15.75" x14ac:dyDescent="0.25">
      <c r="B78" s="78" t="s">
        <v>28</v>
      </c>
      <c r="C78" s="78" t="s">
        <v>98</v>
      </c>
      <c r="D78" s="78"/>
      <c r="E78" s="78"/>
      <c r="F78" s="78"/>
      <c r="K78" s="78" t="s">
        <v>27</v>
      </c>
      <c r="L78" s="78"/>
      <c r="M78" s="78" t="s">
        <v>99</v>
      </c>
      <c r="N78" s="78"/>
      <c r="O78" s="78"/>
    </row>
    <row r="79" spans="2:18" ht="15.75" x14ac:dyDescent="0.25">
      <c r="B79" s="78"/>
      <c r="C79" s="78" t="s">
        <v>92</v>
      </c>
      <c r="D79" s="78" t="s">
        <v>93</v>
      </c>
      <c r="E79" s="78"/>
      <c r="F79" s="78"/>
      <c r="K79" s="78"/>
      <c r="L79" s="78"/>
      <c r="M79" s="78" t="s">
        <v>92</v>
      </c>
      <c r="N79" s="78" t="s">
        <v>93</v>
      </c>
      <c r="O79" s="78"/>
    </row>
    <row r="80" spans="2:18" ht="15.75" x14ac:dyDescent="0.25">
      <c r="B80" s="80">
        <v>42822</v>
      </c>
      <c r="C80" s="81">
        <v>0.31319444444444444</v>
      </c>
      <c r="D80" s="81">
        <v>0.21180555555555555</v>
      </c>
      <c r="E80" s="78"/>
      <c r="F80" s="78"/>
      <c r="K80" s="78"/>
      <c r="L80" s="80">
        <v>42822</v>
      </c>
      <c r="M80" s="81">
        <v>0.33194444444444443</v>
      </c>
      <c r="N80" s="81">
        <v>0.375</v>
      </c>
      <c r="O80" s="78"/>
    </row>
    <row r="81" spans="2:16" ht="15.75" x14ac:dyDescent="0.25">
      <c r="B81" s="80">
        <v>42823</v>
      </c>
      <c r="C81" s="81">
        <v>0.30833333333333335</v>
      </c>
      <c r="D81" s="81">
        <v>0.20833333333333334</v>
      </c>
      <c r="E81" s="78"/>
      <c r="F81" s="78"/>
      <c r="K81" s="78"/>
      <c r="L81" s="80">
        <v>42823</v>
      </c>
      <c r="M81" s="81">
        <v>0.35347222222222219</v>
      </c>
      <c r="N81" s="81">
        <v>0.21527777777777779</v>
      </c>
      <c r="O81" s="78"/>
    </row>
    <row r="82" spans="2:16" ht="15.75" x14ac:dyDescent="0.25">
      <c r="B82" s="80">
        <v>42824</v>
      </c>
      <c r="C82" s="81">
        <v>0.33263888888888887</v>
      </c>
      <c r="D82" s="81">
        <v>0.21875</v>
      </c>
      <c r="E82" s="78"/>
      <c r="F82" s="78"/>
      <c r="K82" s="78"/>
      <c r="L82" s="80">
        <v>42824</v>
      </c>
      <c r="M82" s="81">
        <v>0.3444444444444445</v>
      </c>
      <c r="N82" s="81">
        <v>0.20833333333333334</v>
      </c>
      <c r="O82" s="78"/>
    </row>
    <row r="83" spans="2:16" ht="15.75" x14ac:dyDescent="0.25">
      <c r="B83" s="80">
        <v>42825</v>
      </c>
      <c r="C83" s="81">
        <v>0.30277777777777776</v>
      </c>
      <c r="D83" s="81">
        <v>0.20902777777777778</v>
      </c>
      <c r="E83" s="78"/>
      <c r="F83" s="78"/>
      <c r="K83" s="78"/>
      <c r="L83" s="80">
        <v>42825</v>
      </c>
      <c r="M83" s="81">
        <v>0.20694444444444446</v>
      </c>
      <c r="N83" s="81">
        <v>0.20833333333333334</v>
      </c>
      <c r="O83" s="78"/>
    </row>
    <row r="84" spans="2:16" ht="15.75" x14ac:dyDescent="0.25">
      <c r="B84" s="80">
        <v>42826</v>
      </c>
      <c r="C84" s="81">
        <v>0.3125</v>
      </c>
      <c r="D84" s="81">
        <v>0.22361111111111109</v>
      </c>
      <c r="E84" s="78"/>
      <c r="F84" s="78"/>
      <c r="K84" s="78"/>
      <c r="L84" s="80">
        <v>42826</v>
      </c>
      <c r="M84" s="81">
        <v>0.32291666666666669</v>
      </c>
      <c r="N84" s="81">
        <v>0.20833333333333334</v>
      </c>
      <c r="O84" s="78"/>
    </row>
    <row r="85" spans="2:16" ht="15.75" x14ac:dyDescent="0.25">
      <c r="B85" s="80">
        <v>42827</v>
      </c>
      <c r="C85" s="78"/>
      <c r="D85" s="78"/>
      <c r="E85" s="78"/>
      <c r="F85" s="78"/>
      <c r="K85" s="78"/>
      <c r="L85" s="80">
        <v>42827</v>
      </c>
      <c r="M85" s="78"/>
      <c r="N85" s="78"/>
      <c r="O85" s="78"/>
    </row>
    <row r="86" spans="2:16" ht="15.75" x14ac:dyDescent="0.25">
      <c r="B86" s="80">
        <v>42828</v>
      </c>
      <c r="C86" s="81">
        <v>0.33402777777777781</v>
      </c>
      <c r="D86" s="81">
        <v>0.25</v>
      </c>
      <c r="E86" s="78"/>
      <c r="F86" s="78"/>
      <c r="K86" s="78"/>
      <c r="L86" s="80">
        <v>42828</v>
      </c>
      <c r="M86" s="81">
        <v>0.34027777777777773</v>
      </c>
      <c r="N86" s="81">
        <v>0.20833333333333334</v>
      </c>
      <c r="O86" s="78"/>
    </row>
    <row r="87" spans="2:16" ht="15.75" x14ac:dyDescent="0.25">
      <c r="B87" s="80">
        <v>42829</v>
      </c>
      <c r="C87" s="81">
        <v>0.37083333333333335</v>
      </c>
      <c r="D87" s="81">
        <v>0.21527777777777779</v>
      </c>
      <c r="E87" s="78"/>
      <c r="F87" s="78"/>
      <c r="K87" s="78"/>
      <c r="L87" s="80">
        <v>42829</v>
      </c>
      <c r="M87" s="81">
        <v>0.32847222222222222</v>
      </c>
      <c r="N87" s="81">
        <v>0.20833333333333334</v>
      </c>
      <c r="O87" s="78"/>
    </row>
    <row r="88" spans="2:16" ht="15.75" x14ac:dyDescent="0.25">
      <c r="B88" s="80">
        <v>42830</v>
      </c>
      <c r="C88" s="81">
        <v>0.31527777777777777</v>
      </c>
      <c r="D88" s="81">
        <v>0.21249999999999999</v>
      </c>
      <c r="E88" s="78"/>
      <c r="F88" s="78"/>
      <c r="K88" s="78"/>
      <c r="L88" s="80">
        <v>42830</v>
      </c>
      <c r="M88" s="81">
        <v>0.33055555555555555</v>
      </c>
      <c r="N88" s="81">
        <v>0.20833333333333334</v>
      </c>
      <c r="O88" s="78"/>
    </row>
    <row r="89" spans="2:16" ht="15.75" x14ac:dyDescent="0.25">
      <c r="B89" s="80">
        <v>42831</v>
      </c>
      <c r="C89" s="81">
        <v>0.32013888888888892</v>
      </c>
      <c r="D89" s="81">
        <v>0.21111111111111111</v>
      </c>
      <c r="E89" s="78"/>
      <c r="F89" s="78"/>
      <c r="K89" s="78"/>
      <c r="L89" s="80">
        <v>42831</v>
      </c>
      <c r="M89" s="81">
        <v>0.32916666666666666</v>
      </c>
      <c r="N89" s="81">
        <v>0.20833333333333334</v>
      </c>
      <c r="O89" s="78"/>
    </row>
    <row r="90" spans="2:16" ht="15.75" x14ac:dyDescent="0.25">
      <c r="B90" s="80">
        <v>42832</v>
      </c>
      <c r="C90" s="81">
        <v>0.3215277777777778</v>
      </c>
      <c r="D90" s="81">
        <v>0.20833333333333334</v>
      </c>
      <c r="E90" s="78"/>
      <c r="F90" s="78"/>
      <c r="K90" s="78"/>
      <c r="L90" s="80">
        <v>42832</v>
      </c>
      <c r="M90" s="81">
        <v>0.3430555555555555</v>
      </c>
      <c r="N90" s="81">
        <v>0.20833333333333334</v>
      </c>
      <c r="O90" s="78"/>
    </row>
    <row r="91" spans="2:16" ht="15.75" x14ac:dyDescent="0.25">
      <c r="B91" s="80">
        <v>42833</v>
      </c>
      <c r="C91" s="81">
        <v>0.31458333333333333</v>
      </c>
      <c r="D91" s="81">
        <v>0.20833333333333334</v>
      </c>
      <c r="E91" s="78"/>
      <c r="F91" s="78"/>
      <c r="K91" s="78"/>
      <c r="L91" s="80">
        <v>42833</v>
      </c>
      <c r="M91" s="81">
        <v>0.33055555555555555</v>
      </c>
      <c r="N91" s="81">
        <v>0.20833333333333334</v>
      </c>
      <c r="O91" s="78"/>
    </row>
    <row r="92" spans="2:16" ht="15.75" x14ac:dyDescent="0.25">
      <c r="B92" s="80">
        <v>42834</v>
      </c>
      <c r="C92" s="78"/>
      <c r="D92" s="78"/>
      <c r="E92" s="78"/>
      <c r="F92" s="78"/>
      <c r="K92" s="78"/>
      <c r="L92" s="80">
        <v>42834</v>
      </c>
      <c r="M92" s="78"/>
      <c r="N92" s="78"/>
      <c r="O92" s="78"/>
    </row>
    <row r="93" spans="2:16" ht="15.75" x14ac:dyDescent="0.25">
      <c r="B93" s="80">
        <v>42835</v>
      </c>
      <c r="C93" s="81" t="s">
        <v>2</v>
      </c>
      <c r="D93" s="81" t="s">
        <v>2</v>
      </c>
      <c r="E93" s="81">
        <v>4.1666666666666664E-2</v>
      </c>
      <c r="F93" s="81">
        <v>0.21180555555555555</v>
      </c>
      <c r="K93" s="78"/>
      <c r="L93" s="80">
        <v>42835</v>
      </c>
      <c r="M93" s="81">
        <v>0.32916666666666666</v>
      </c>
      <c r="N93" s="81">
        <v>0.20833333333333334</v>
      </c>
      <c r="O93" s="81" t="s">
        <v>2</v>
      </c>
      <c r="P93" s="74" t="s">
        <v>2</v>
      </c>
    </row>
    <row r="94" spans="2:16" ht="15.75" x14ac:dyDescent="0.25">
      <c r="B94" s="80">
        <v>42836</v>
      </c>
      <c r="C94" s="81">
        <v>0.31111111111111112</v>
      </c>
      <c r="D94" s="81">
        <v>0.20833333333333334</v>
      </c>
      <c r="E94" s="78"/>
      <c r="F94" s="78"/>
      <c r="K94" s="78"/>
      <c r="L94" s="80">
        <v>42836</v>
      </c>
      <c r="M94" s="81">
        <v>0.34166666666666662</v>
      </c>
      <c r="N94" s="81">
        <v>0.20833333333333334</v>
      </c>
      <c r="O94" s="78"/>
    </row>
    <row r="95" spans="2:16" ht="15.75" x14ac:dyDescent="0.25">
      <c r="B95" s="80">
        <v>42837</v>
      </c>
      <c r="C95" s="81">
        <v>0.31736111111111115</v>
      </c>
      <c r="D95" s="78"/>
      <c r="E95" s="78"/>
      <c r="F95" s="78"/>
      <c r="K95" s="78"/>
      <c r="L95" s="80">
        <v>42837</v>
      </c>
      <c r="M95" s="81">
        <v>0.33263888888888887</v>
      </c>
      <c r="N95" s="78"/>
      <c r="O95" s="78"/>
    </row>
    <row r="96" spans="2:16" ht="15.75" x14ac:dyDescent="0.25">
      <c r="B96" s="80">
        <v>42838</v>
      </c>
      <c r="C96" s="78"/>
      <c r="D96" s="78"/>
      <c r="E96" s="78"/>
      <c r="F96" s="78"/>
      <c r="K96" s="78"/>
      <c r="L96" s="80">
        <v>42838</v>
      </c>
      <c r="M96" s="78"/>
      <c r="N96" s="78"/>
      <c r="O96" s="78"/>
    </row>
    <row r="97" spans="2:15" ht="15.75" x14ac:dyDescent="0.25">
      <c r="B97" s="80">
        <v>42839</v>
      </c>
      <c r="C97" s="78"/>
      <c r="D97" s="78"/>
      <c r="E97" s="78"/>
      <c r="F97" s="78"/>
      <c r="K97" s="78"/>
      <c r="L97" s="80">
        <v>42839</v>
      </c>
      <c r="M97" s="78"/>
      <c r="N97" s="78"/>
      <c r="O97" s="78"/>
    </row>
    <row r="98" spans="2:15" ht="15.75" x14ac:dyDescent="0.25">
      <c r="B98" s="80">
        <v>42840</v>
      </c>
      <c r="C98" s="78"/>
      <c r="D98" s="78"/>
      <c r="E98" s="78"/>
      <c r="F98" s="78"/>
      <c r="K98" s="78"/>
      <c r="L98" s="80">
        <v>42840</v>
      </c>
      <c r="M98" s="78"/>
      <c r="N98" s="78"/>
      <c r="O98" s="78"/>
    </row>
    <row r="99" spans="2:15" ht="15.75" x14ac:dyDescent="0.25">
      <c r="B99" s="80">
        <v>42841</v>
      </c>
      <c r="C99" s="78"/>
      <c r="D99" s="78"/>
      <c r="E99" s="78"/>
      <c r="F99" s="78"/>
      <c r="K99" s="78"/>
      <c r="L99" s="80">
        <v>42841</v>
      </c>
      <c r="M99" s="78"/>
      <c r="N99" s="78"/>
      <c r="O99" s="78"/>
    </row>
    <row r="100" spans="2:15" ht="15.75" x14ac:dyDescent="0.25">
      <c r="B100" s="80">
        <v>42842</v>
      </c>
      <c r="C100" s="81">
        <v>0.33402777777777781</v>
      </c>
      <c r="D100" s="81">
        <v>0.21111111111111111</v>
      </c>
      <c r="E100" s="78"/>
      <c r="F100" s="78"/>
      <c r="K100" s="78"/>
      <c r="L100" s="80">
        <v>42842</v>
      </c>
      <c r="M100" s="81">
        <v>0.3347222222222222</v>
      </c>
      <c r="N100" s="81">
        <v>0.20833333333333334</v>
      </c>
      <c r="O100" s="78"/>
    </row>
    <row r="101" spans="2:15" ht="15.75" x14ac:dyDescent="0.25">
      <c r="B101" s="80">
        <v>42843</v>
      </c>
      <c r="C101" s="81">
        <v>0.31944444444444448</v>
      </c>
      <c r="D101" s="81">
        <v>0.21527777777777779</v>
      </c>
      <c r="E101" s="78"/>
      <c r="F101" s="78"/>
      <c r="K101" s="78"/>
      <c r="L101" s="80">
        <v>42843</v>
      </c>
      <c r="M101" s="81">
        <v>0.23124999999999998</v>
      </c>
      <c r="N101" s="81">
        <v>0.20833333333333334</v>
      </c>
      <c r="O101" s="78"/>
    </row>
    <row r="102" spans="2:15" ht="15.75" x14ac:dyDescent="0.25">
      <c r="B102" s="80">
        <v>42844</v>
      </c>
      <c r="C102" s="81">
        <v>0.30277777777777776</v>
      </c>
      <c r="D102" s="81">
        <v>0.21180555555555555</v>
      </c>
      <c r="E102" s="78"/>
      <c r="F102" s="78"/>
      <c r="K102" s="78"/>
      <c r="L102" s="80">
        <v>42844</v>
      </c>
      <c r="M102" s="81">
        <v>0.32569444444444445</v>
      </c>
      <c r="N102" s="81">
        <v>0.20833333333333334</v>
      </c>
      <c r="O102" s="78"/>
    </row>
    <row r="103" spans="2:15" ht="15.75" x14ac:dyDescent="0.25">
      <c r="B103" s="80">
        <v>42845</v>
      </c>
      <c r="C103" s="81">
        <v>0.31458333333333333</v>
      </c>
      <c r="D103" s="81">
        <v>0.21527777777777779</v>
      </c>
      <c r="E103" s="78"/>
      <c r="F103" s="78"/>
      <c r="K103" s="78"/>
      <c r="L103" s="80">
        <v>42845</v>
      </c>
      <c r="M103" s="81">
        <v>0.3354166666666667</v>
      </c>
      <c r="N103" s="81">
        <v>0.20833333333333334</v>
      </c>
      <c r="O103" s="78"/>
    </row>
    <row r="104" spans="2:15" ht="15.75" x14ac:dyDescent="0.25">
      <c r="B104" s="80">
        <v>42846</v>
      </c>
      <c r="C104" s="81">
        <v>0.39027777777777778</v>
      </c>
      <c r="D104" s="81">
        <v>0.20902777777777778</v>
      </c>
      <c r="E104" s="78"/>
      <c r="F104" s="78"/>
      <c r="K104" s="78"/>
      <c r="L104" s="80">
        <v>42846</v>
      </c>
      <c r="M104" s="81">
        <v>0.33958333333333335</v>
      </c>
      <c r="N104" s="81">
        <v>0.21041666666666667</v>
      </c>
      <c r="O104" s="78"/>
    </row>
    <row r="105" spans="2:15" ht="15.75" x14ac:dyDescent="0.25">
      <c r="B105" s="80">
        <v>42847</v>
      </c>
      <c r="C105" s="81">
        <v>0.31944444444444448</v>
      </c>
      <c r="D105" s="81">
        <v>0.20902777777777778</v>
      </c>
      <c r="E105" s="78"/>
      <c r="F105" s="78"/>
      <c r="K105" s="78"/>
      <c r="L105" s="80">
        <v>42847</v>
      </c>
      <c r="M105" s="81">
        <v>0.33124999999999999</v>
      </c>
      <c r="N105" s="81">
        <v>0.20902777777777778</v>
      </c>
      <c r="O105" s="78"/>
    </row>
    <row r="106" spans="2:15" ht="15.75" x14ac:dyDescent="0.25">
      <c r="B106" s="80">
        <v>42848</v>
      </c>
      <c r="C106" s="78"/>
      <c r="D106" s="78"/>
      <c r="E106" s="78"/>
      <c r="F106" s="78"/>
      <c r="K106" s="78"/>
      <c r="L106" s="80">
        <v>42848</v>
      </c>
      <c r="M106" s="78"/>
      <c r="N106" s="78"/>
      <c r="O106" s="78"/>
    </row>
    <row r="107" spans="2:15" ht="15.75" x14ac:dyDescent="0.25">
      <c r="B107" s="80">
        <v>42849</v>
      </c>
      <c r="C107" s="81">
        <v>0.34166666666666662</v>
      </c>
      <c r="D107" s="81">
        <v>0.21041666666666667</v>
      </c>
      <c r="E107" s="78"/>
      <c r="F107" s="78"/>
      <c r="K107" s="78"/>
      <c r="L107" s="80">
        <v>42849</v>
      </c>
      <c r="M107" s="81">
        <v>0.3263888888888889</v>
      </c>
      <c r="N107" s="81">
        <v>0.20902777777777778</v>
      </c>
      <c r="O107" s="78"/>
    </row>
    <row r="108" spans="2:15" ht="15.75" x14ac:dyDescent="0.25">
      <c r="B108" s="80">
        <v>42850</v>
      </c>
      <c r="C108" s="81">
        <v>0.3215277777777778</v>
      </c>
      <c r="D108" s="81">
        <v>6.3194444444444442E-2</v>
      </c>
      <c r="E108" s="78"/>
      <c r="F108" s="78"/>
      <c r="K108" s="78"/>
      <c r="L108" s="80">
        <v>42850</v>
      </c>
      <c r="M108" s="81">
        <v>0.33263888888888887</v>
      </c>
      <c r="N108" s="81">
        <v>0.20972222222222223</v>
      </c>
      <c r="O108" s="78"/>
    </row>
    <row r="109" spans="2:15" ht="15.75" x14ac:dyDescent="0.25">
      <c r="B109" s="80">
        <v>42851</v>
      </c>
      <c r="C109" s="81">
        <v>0.31527777777777777</v>
      </c>
      <c r="D109" s="81">
        <v>0.22361111111111109</v>
      </c>
      <c r="E109" s="78"/>
      <c r="F109" s="78"/>
      <c r="K109" s="78"/>
      <c r="L109" s="80">
        <v>42851</v>
      </c>
      <c r="M109" s="81">
        <v>0.33333333333333331</v>
      </c>
      <c r="N109" s="81">
        <v>0.21597222222222223</v>
      </c>
      <c r="O109" s="78"/>
    </row>
    <row r="110" spans="2:15" ht="15.75" x14ac:dyDescent="0.25">
      <c r="B110" s="80">
        <v>42852</v>
      </c>
      <c r="C110" s="81">
        <v>0.31041666666666667</v>
      </c>
      <c r="D110" s="81">
        <v>0.20902777777777778</v>
      </c>
      <c r="E110" s="78"/>
      <c r="F110" s="78"/>
      <c r="K110" s="78"/>
      <c r="L110" s="80">
        <v>42852</v>
      </c>
      <c r="M110" s="81">
        <v>0.33680555555555558</v>
      </c>
      <c r="N110" s="81">
        <v>0.20902777777777778</v>
      </c>
      <c r="O110" s="78"/>
    </row>
    <row r="111" spans="2:15" ht="15.75" x14ac:dyDescent="0.25">
      <c r="B111" s="80" t="s">
        <v>2</v>
      </c>
      <c r="C111" s="78"/>
      <c r="D111" s="78"/>
      <c r="E111" s="78"/>
      <c r="F111" s="78"/>
      <c r="K111" s="78"/>
      <c r="L111" s="80" t="s">
        <v>2</v>
      </c>
      <c r="M111" s="78"/>
      <c r="N111" s="78"/>
      <c r="O111" s="78"/>
    </row>
    <row r="114" spans="2:18" x14ac:dyDescent="0.25"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</row>
    <row r="116" spans="2:18" ht="15.75" x14ac:dyDescent="0.25">
      <c r="B116" s="78" t="s">
        <v>26</v>
      </c>
      <c r="C116" s="78" t="s">
        <v>100</v>
      </c>
      <c r="D116" s="78"/>
      <c r="E116" s="78"/>
      <c r="F116" s="78"/>
    </row>
    <row r="117" spans="2:18" ht="15.75" x14ac:dyDescent="0.25">
      <c r="B117" s="78"/>
      <c r="C117" s="78" t="s">
        <v>92</v>
      </c>
      <c r="D117" s="78" t="s">
        <v>93</v>
      </c>
      <c r="E117" s="78"/>
      <c r="F117" s="78"/>
    </row>
    <row r="118" spans="2:18" ht="15.75" x14ac:dyDescent="0.25">
      <c r="B118" s="80">
        <v>42822</v>
      </c>
      <c r="C118" s="81">
        <v>0.33749999999999997</v>
      </c>
      <c r="D118" s="81">
        <v>0.20833333333333334</v>
      </c>
      <c r="E118" s="78"/>
      <c r="F118" s="78"/>
    </row>
    <row r="119" spans="2:18" ht="15.75" x14ac:dyDescent="0.25">
      <c r="B119" s="80">
        <v>42823</v>
      </c>
      <c r="C119" s="81">
        <v>0.33749999999999997</v>
      </c>
      <c r="D119" s="81">
        <v>0.20833333333333334</v>
      </c>
      <c r="E119" s="78"/>
      <c r="F119" s="78"/>
    </row>
    <row r="120" spans="2:18" ht="15.75" x14ac:dyDescent="0.25">
      <c r="B120" s="80">
        <v>42824</v>
      </c>
      <c r="C120" s="81">
        <v>0.33333333333333331</v>
      </c>
      <c r="D120" s="81">
        <v>0.20833333333333334</v>
      </c>
      <c r="E120" s="78"/>
      <c r="F120" s="78"/>
    </row>
    <row r="121" spans="2:18" ht="15.75" x14ac:dyDescent="0.25">
      <c r="B121" s="80">
        <v>42825</v>
      </c>
      <c r="C121" s="81">
        <v>0.33680555555555558</v>
      </c>
      <c r="D121" s="81">
        <v>0.20833333333333334</v>
      </c>
      <c r="E121" s="78"/>
      <c r="F121" s="78"/>
    </row>
    <row r="122" spans="2:18" ht="15.75" x14ac:dyDescent="0.25">
      <c r="B122" s="80">
        <v>42826</v>
      </c>
      <c r="C122" s="81">
        <v>0.3347222222222222</v>
      </c>
      <c r="D122" s="81">
        <v>0.20833333333333334</v>
      </c>
      <c r="E122" s="78"/>
      <c r="F122" s="78"/>
    </row>
    <row r="123" spans="2:18" ht="15.75" x14ac:dyDescent="0.25">
      <c r="B123" s="80">
        <v>42827</v>
      </c>
      <c r="C123" s="78"/>
      <c r="D123" s="78"/>
      <c r="E123" s="78"/>
      <c r="F123" s="78"/>
    </row>
    <row r="124" spans="2:18" ht="15.75" x14ac:dyDescent="0.25">
      <c r="B124" s="80">
        <v>42828</v>
      </c>
      <c r="C124" s="81">
        <v>0.33749999999999997</v>
      </c>
      <c r="D124" s="81">
        <v>0.20833333333333334</v>
      </c>
      <c r="E124" s="78"/>
      <c r="F124" s="78"/>
    </row>
    <row r="125" spans="2:18" ht="15.75" x14ac:dyDescent="0.25">
      <c r="B125" s="80">
        <v>42829</v>
      </c>
      <c r="C125" s="81">
        <v>0.33333333333333331</v>
      </c>
      <c r="D125" s="81">
        <v>0.20833333333333334</v>
      </c>
      <c r="E125" s="78"/>
      <c r="F125" s="78"/>
    </row>
    <row r="126" spans="2:18" ht="15.75" x14ac:dyDescent="0.25">
      <c r="B126" s="80">
        <v>42830</v>
      </c>
      <c r="C126" s="81" t="s">
        <v>2</v>
      </c>
      <c r="D126" s="81" t="s">
        <v>2</v>
      </c>
      <c r="E126" s="78"/>
      <c r="F126" s="78"/>
    </row>
    <row r="127" spans="2:18" ht="15.75" x14ac:dyDescent="0.25">
      <c r="B127" s="80">
        <v>42831</v>
      </c>
      <c r="C127" s="81">
        <v>0.33263888888888887</v>
      </c>
      <c r="D127" s="81">
        <v>0.21041666666666667</v>
      </c>
      <c r="E127" s="78"/>
      <c r="F127" s="78"/>
    </row>
    <row r="128" spans="2:18" ht="15.75" x14ac:dyDescent="0.25">
      <c r="B128" s="80">
        <v>42832</v>
      </c>
      <c r="C128" s="81">
        <v>0.3263888888888889</v>
      </c>
      <c r="D128" s="81">
        <v>0.20833333333333334</v>
      </c>
      <c r="E128" s="78"/>
      <c r="F128" s="78"/>
    </row>
    <row r="129" spans="2:6" ht="15.75" x14ac:dyDescent="0.25">
      <c r="B129" s="80">
        <v>42833</v>
      </c>
      <c r="C129" s="81">
        <v>0.32916666666666666</v>
      </c>
      <c r="D129" s="81">
        <v>0.20833333333333334</v>
      </c>
      <c r="E129" s="78"/>
      <c r="F129" s="78"/>
    </row>
    <row r="130" spans="2:6" ht="15.75" x14ac:dyDescent="0.25">
      <c r="B130" s="80">
        <v>42834</v>
      </c>
      <c r="C130" s="78"/>
      <c r="D130" s="78"/>
      <c r="E130" s="78"/>
      <c r="F130" s="78"/>
    </row>
    <row r="131" spans="2:6" ht="15.75" x14ac:dyDescent="0.25">
      <c r="B131" s="80">
        <v>42835</v>
      </c>
      <c r="C131" s="81">
        <v>0.33680555555555558</v>
      </c>
      <c r="D131" s="81">
        <v>0.20833333333333334</v>
      </c>
      <c r="E131" s="81" t="s">
        <v>2</v>
      </c>
      <c r="F131" s="81" t="s">
        <v>2</v>
      </c>
    </row>
    <row r="132" spans="2:6" ht="15.75" x14ac:dyDescent="0.25">
      <c r="B132" s="80">
        <v>42836</v>
      </c>
      <c r="C132" s="81">
        <v>0.33749999999999997</v>
      </c>
      <c r="D132" s="81">
        <v>0.20833333333333334</v>
      </c>
      <c r="E132" s="78"/>
      <c r="F132" s="78"/>
    </row>
    <row r="133" spans="2:6" ht="15.75" x14ac:dyDescent="0.25">
      <c r="B133" s="80">
        <v>42837</v>
      </c>
      <c r="C133" s="81">
        <v>0.33124999999999999</v>
      </c>
      <c r="D133" s="78"/>
      <c r="E133" s="78"/>
      <c r="F133" s="78"/>
    </row>
    <row r="134" spans="2:6" ht="15.75" x14ac:dyDescent="0.25">
      <c r="B134" s="80">
        <v>42838</v>
      </c>
      <c r="C134" s="78"/>
      <c r="D134" s="78"/>
      <c r="E134" s="78"/>
      <c r="F134" s="78"/>
    </row>
    <row r="135" spans="2:6" ht="15.75" x14ac:dyDescent="0.25">
      <c r="B135" s="80">
        <v>42839</v>
      </c>
      <c r="C135" s="78"/>
      <c r="D135" s="78"/>
      <c r="E135" s="78"/>
      <c r="F135" s="78"/>
    </row>
    <row r="136" spans="2:6" ht="15.75" x14ac:dyDescent="0.25">
      <c r="B136" s="80">
        <v>42840</v>
      </c>
      <c r="C136" s="78"/>
      <c r="D136" s="78"/>
      <c r="E136" s="78"/>
      <c r="F136" s="78"/>
    </row>
    <row r="137" spans="2:6" ht="15.75" x14ac:dyDescent="0.25">
      <c r="B137" s="80">
        <v>42841</v>
      </c>
      <c r="C137" s="78"/>
      <c r="D137" s="78"/>
      <c r="E137" s="78"/>
      <c r="F137" s="78"/>
    </row>
    <row r="138" spans="2:6" ht="15.75" x14ac:dyDescent="0.25">
      <c r="B138" s="80">
        <v>42842</v>
      </c>
      <c r="C138" s="81">
        <v>0.32569444444444445</v>
      </c>
      <c r="D138" s="81">
        <v>0.20833333333333334</v>
      </c>
      <c r="E138" s="78"/>
      <c r="F138" s="78"/>
    </row>
    <row r="139" spans="2:6" ht="15.75" x14ac:dyDescent="0.25">
      <c r="B139" s="80">
        <v>42843</v>
      </c>
      <c r="C139" s="81">
        <v>0.32777777777777778</v>
      </c>
      <c r="D139" s="81">
        <v>0.20833333333333334</v>
      </c>
      <c r="E139" s="78"/>
      <c r="F139" s="78"/>
    </row>
    <row r="140" spans="2:6" ht="15.75" x14ac:dyDescent="0.25">
      <c r="B140" s="80">
        <v>42844</v>
      </c>
      <c r="C140" s="81">
        <v>0.3215277777777778</v>
      </c>
      <c r="D140" s="81">
        <v>0.20833333333333334</v>
      </c>
      <c r="E140" s="78"/>
      <c r="F140" s="78"/>
    </row>
    <row r="141" spans="2:6" ht="15.75" x14ac:dyDescent="0.25">
      <c r="B141" s="80">
        <v>42845</v>
      </c>
      <c r="C141" s="81">
        <v>0.34513888888888888</v>
      </c>
      <c r="D141" s="81">
        <v>0.5</v>
      </c>
      <c r="E141" s="78"/>
      <c r="F141" s="78"/>
    </row>
    <row r="142" spans="2:6" ht="15.75" x14ac:dyDescent="0.25">
      <c r="B142" s="80">
        <v>42846</v>
      </c>
      <c r="C142" s="81">
        <v>0.34722222222222227</v>
      </c>
      <c r="D142" s="81">
        <v>0.20833333333333334</v>
      </c>
      <c r="E142" s="78"/>
      <c r="F142" s="78"/>
    </row>
    <row r="143" spans="2:6" ht="15.75" x14ac:dyDescent="0.25">
      <c r="B143" s="80">
        <v>42847</v>
      </c>
      <c r="C143" s="81">
        <v>0.3430555555555555</v>
      </c>
      <c r="D143" s="81">
        <v>0.20833333333333334</v>
      </c>
      <c r="E143" s="78"/>
      <c r="F143" s="78"/>
    </row>
    <row r="144" spans="2:6" ht="15.75" x14ac:dyDescent="0.25">
      <c r="B144" s="80">
        <v>42848</v>
      </c>
      <c r="C144" s="78"/>
      <c r="D144" s="78"/>
      <c r="E144" s="78"/>
      <c r="F144" s="78"/>
    </row>
    <row r="145" spans="2:6" ht="15.75" x14ac:dyDescent="0.25">
      <c r="B145" s="80">
        <v>42849</v>
      </c>
      <c r="C145" s="81">
        <v>0.35555555555555557</v>
      </c>
      <c r="D145" s="81">
        <v>0.20833333333333334</v>
      </c>
      <c r="E145" s="78"/>
      <c r="F145" s="78"/>
    </row>
    <row r="146" spans="2:6" ht="15.75" x14ac:dyDescent="0.25">
      <c r="B146" s="80">
        <v>42850</v>
      </c>
      <c r="C146" s="81">
        <v>0.35138888888888892</v>
      </c>
      <c r="D146" s="81">
        <v>0.20833333333333334</v>
      </c>
      <c r="E146" s="78"/>
      <c r="F146" s="78"/>
    </row>
    <row r="147" spans="2:6" ht="15.75" x14ac:dyDescent="0.25">
      <c r="B147" s="80">
        <v>42851</v>
      </c>
      <c r="C147" s="81">
        <v>0.32500000000000001</v>
      </c>
      <c r="D147" s="81">
        <v>0.20833333333333334</v>
      </c>
      <c r="E147" s="78"/>
      <c r="F147" s="78"/>
    </row>
    <row r="148" spans="2:6" ht="15.75" x14ac:dyDescent="0.25">
      <c r="B148" s="80">
        <v>42852</v>
      </c>
      <c r="C148" s="81">
        <v>0.3527777777777778</v>
      </c>
      <c r="D148" s="81">
        <v>0.20833333333333334</v>
      </c>
      <c r="E148" s="78"/>
      <c r="F148" s="78"/>
    </row>
    <row r="149" spans="2:6" ht="15.75" x14ac:dyDescent="0.25">
      <c r="B149" s="80" t="s">
        <v>2</v>
      </c>
      <c r="C149" s="78"/>
      <c r="D149" s="78"/>
      <c r="E149" s="78"/>
      <c r="F149" s="78"/>
    </row>
  </sheetData>
  <pageMargins left="0.7" right="0.7" top="0.75" bottom="0.25" header="0.3" footer="0.3"/>
  <pageSetup scale="95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M77"/>
  <sheetViews>
    <sheetView tabSelected="1" workbookViewId="0">
      <selection activeCell="C50" sqref="C50"/>
    </sheetView>
  </sheetViews>
  <sheetFormatPr defaultRowHeight="15" x14ac:dyDescent="0.25"/>
  <cols>
    <col min="2" max="2" width="16.5703125" customWidth="1"/>
    <col min="3" max="3" width="18.5703125" customWidth="1"/>
    <col min="5" max="5" width="14.42578125" customWidth="1"/>
    <col min="6" max="6" width="12.5703125" customWidth="1"/>
    <col min="7" max="7" width="4.7109375" customWidth="1"/>
    <col min="8" max="8" width="1.28515625" customWidth="1"/>
    <col min="9" max="9" width="17.85546875" customWidth="1"/>
    <col min="10" max="10" width="23.140625" customWidth="1"/>
    <col min="11" max="11" width="15.28515625" customWidth="1"/>
    <col min="12" max="13" width="15.140625" customWidth="1"/>
  </cols>
  <sheetData>
    <row r="4" spans="2:13" x14ac:dyDescent="0.25">
      <c r="G4" s="95"/>
      <c r="H4" s="95"/>
      <c r="I4" s="95"/>
    </row>
    <row r="5" spans="2:13" ht="51" x14ac:dyDescent="0.5">
      <c r="B5" s="83" t="s">
        <v>113</v>
      </c>
      <c r="C5" s="76" t="s">
        <v>101</v>
      </c>
      <c r="D5" s="3"/>
      <c r="E5" s="88" t="s">
        <v>114</v>
      </c>
      <c r="F5" s="5" t="s">
        <v>115</v>
      </c>
      <c r="G5" s="97"/>
      <c r="H5" s="95"/>
      <c r="I5" s="83" t="s">
        <v>113</v>
      </c>
      <c r="J5" s="76" t="s">
        <v>101</v>
      </c>
      <c r="K5" s="3"/>
      <c r="L5" s="88" t="s">
        <v>120</v>
      </c>
      <c r="M5" s="3"/>
    </row>
    <row r="6" spans="2:13" ht="23.25" x14ac:dyDescent="0.35">
      <c r="B6" s="86"/>
      <c r="C6" s="86" t="s">
        <v>16</v>
      </c>
      <c r="D6" s="86"/>
      <c r="E6" s="86"/>
      <c r="F6" s="86"/>
      <c r="G6" s="95"/>
      <c r="H6" s="95"/>
      <c r="I6" s="86"/>
      <c r="J6" s="86" t="s">
        <v>16</v>
      </c>
      <c r="K6" s="86"/>
      <c r="L6" s="86"/>
      <c r="M6" s="86"/>
    </row>
    <row r="7" spans="2:13" ht="23.25" x14ac:dyDescent="0.35">
      <c r="B7" s="86"/>
      <c r="C7" s="86" t="s">
        <v>102</v>
      </c>
      <c r="D7" s="86"/>
      <c r="E7" s="86"/>
      <c r="F7" s="86" t="s">
        <v>107</v>
      </c>
      <c r="I7" s="86"/>
      <c r="J7" s="86" t="s">
        <v>102</v>
      </c>
      <c r="K7" s="86"/>
      <c r="L7" s="86"/>
      <c r="M7" s="86" t="s">
        <v>107</v>
      </c>
    </row>
    <row r="8" spans="2:13" ht="23.25" x14ac:dyDescent="0.35">
      <c r="B8" s="84">
        <v>602515</v>
      </c>
      <c r="C8" s="84" t="s">
        <v>20</v>
      </c>
      <c r="D8" s="84"/>
      <c r="E8" s="78" t="s">
        <v>95</v>
      </c>
      <c r="F8" s="84" t="s">
        <v>105</v>
      </c>
      <c r="I8" s="85">
        <v>602957</v>
      </c>
      <c r="J8" s="85" t="s">
        <v>94</v>
      </c>
      <c r="K8" s="85"/>
      <c r="L8" s="85"/>
      <c r="M8" s="85"/>
    </row>
    <row r="9" spans="2:13" ht="21" x14ac:dyDescent="0.35">
      <c r="B9" s="87" t="s">
        <v>103</v>
      </c>
      <c r="C9" s="87" t="s">
        <v>104</v>
      </c>
      <c r="D9" s="3" t="s">
        <v>117</v>
      </c>
      <c r="E9" s="3"/>
      <c r="F9" s="3" t="s">
        <v>106</v>
      </c>
      <c r="I9" s="85" t="s">
        <v>103</v>
      </c>
      <c r="J9" s="85" t="s">
        <v>118</v>
      </c>
      <c r="K9" s="85" t="s">
        <v>119</v>
      </c>
      <c r="L9" s="85" t="s">
        <v>111</v>
      </c>
      <c r="M9" s="94" t="s">
        <v>112</v>
      </c>
    </row>
    <row r="10" spans="2:13" ht="21" x14ac:dyDescent="0.35">
      <c r="B10" s="80">
        <v>42810</v>
      </c>
      <c r="C10" s="81">
        <v>0.2902777777777778</v>
      </c>
      <c r="D10" s="81">
        <v>0.33333333333333331</v>
      </c>
      <c r="E10" s="78"/>
      <c r="F10" s="78">
        <v>1</v>
      </c>
      <c r="I10" s="85"/>
      <c r="J10" s="85" t="s">
        <v>95</v>
      </c>
      <c r="K10" s="85"/>
      <c r="L10" s="85"/>
      <c r="M10" s="85"/>
    </row>
    <row r="11" spans="2:13" ht="15.75" x14ac:dyDescent="0.25">
      <c r="B11" s="80">
        <v>42811</v>
      </c>
      <c r="C11" s="81">
        <v>0.16666666666666666</v>
      </c>
      <c r="D11" s="81">
        <v>0.2298611111111111</v>
      </c>
      <c r="E11" s="78"/>
      <c r="F11" s="78">
        <v>1</v>
      </c>
      <c r="I11" s="80">
        <v>42822</v>
      </c>
      <c r="J11" s="81">
        <v>0.25694444444444448</v>
      </c>
      <c r="K11" s="81">
        <v>0.32013888888888892</v>
      </c>
      <c r="L11" s="89">
        <v>1.51</v>
      </c>
      <c r="M11" s="78">
        <v>1.5</v>
      </c>
    </row>
    <row r="12" spans="2:13" ht="15.75" x14ac:dyDescent="0.25">
      <c r="B12" s="80">
        <v>42812</v>
      </c>
      <c r="C12" s="81">
        <v>0.2590277777777778</v>
      </c>
      <c r="D12" s="81">
        <v>0.23055555555555554</v>
      </c>
      <c r="E12" s="78"/>
      <c r="F12" s="78">
        <v>1</v>
      </c>
      <c r="I12" s="80">
        <v>42823</v>
      </c>
      <c r="J12" s="81">
        <v>0.25277777777777777</v>
      </c>
      <c r="K12" s="81">
        <v>0.31388888888888888</v>
      </c>
      <c r="L12" s="89">
        <v>1.47</v>
      </c>
      <c r="M12" s="78">
        <v>1.45</v>
      </c>
    </row>
    <row r="13" spans="2:13" ht="15.75" x14ac:dyDescent="0.25">
      <c r="B13" s="80">
        <v>42814</v>
      </c>
      <c r="C13" s="81">
        <v>0.25416666666666665</v>
      </c>
      <c r="D13" s="81">
        <v>0.22916666666666666</v>
      </c>
      <c r="E13" s="78"/>
      <c r="F13" s="78">
        <v>1</v>
      </c>
      <c r="I13" s="80">
        <v>42824</v>
      </c>
      <c r="J13" s="81">
        <v>0.25694444444444448</v>
      </c>
      <c r="K13" s="81">
        <v>0.3576388888888889</v>
      </c>
      <c r="L13" s="89">
        <v>2.42</v>
      </c>
      <c r="M13" s="78">
        <v>2.35</v>
      </c>
    </row>
    <row r="14" spans="2:13" ht="15.75" x14ac:dyDescent="0.25">
      <c r="B14" s="80">
        <v>42815</v>
      </c>
      <c r="C14" s="81">
        <v>0.25972222222222224</v>
      </c>
      <c r="D14" s="81">
        <v>0.23333333333333331</v>
      </c>
      <c r="E14" s="78"/>
      <c r="F14" s="78">
        <v>1</v>
      </c>
      <c r="I14" s="80">
        <v>42825</v>
      </c>
      <c r="J14" s="81">
        <v>0.27083333333333331</v>
      </c>
      <c r="K14" s="81">
        <v>0.32847222222222222</v>
      </c>
      <c r="L14" s="89">
        <v>1.38</v>
      </c>
      <c r="M14" s="78">
        <v>1.35</v>
      </c>
    </row>
    <row r="15" spans="2:13" ht="15.75" x14ac:dyDescent="0.25">
      <c r="B15" s="80">
        <v>42816</v>
      </c>
      <c r="C15" s="81">
        <v>0.25347222222222221</v>
      </c>
      <c r="D15" s="81">
        <v>0.23124999999999998</v>
      </c>
      <c r="E15" s="78"/>
      <c r="F15" s="78">
        <v>1</v>
      </c>
      <c r="I15" s="80">
        <v>42828</v>
      </c>
      <c r="J15" s="81">
        <v>0.27083333333333331</v>
      </c>
      <c r="K15" s="81">
        <v>0.34027777777777773</v>
      </c>
      <c r="L15" s="89">
        <v>1.67</v>
      </c>
      <c r="M15" s="78">
        <v>1.65</v>
      </c>
    </row>
    <row r="16" spans="2:13" ht="15.75" x14ac:dyDescent="0.25">
      <c r="B16" s="80">
        <v>42817</v>
      </c>
      <c r="C16" s="81">
        <v>0.25069444444444444</v>
      </c>
      <c r="D16" s="81">
        <v>0.52430555555555558</v>
      </c>
      <c r="E16" s="78"/>
      <c r="F16" s="78">
        <v>1</v>
      </c>
      <c r="I16" s="80">
        <v>42829</v>
      </c>
      <c r="J16" s="81">
        <v>0.25694444444444448</v>
      </c>
      <c r="K16" s="81">
        <v>0.33888888888888885</v>
      </c>
      <c r="L16" s="89">
        <v>1.96</v>
      </c>
      <c r="M16" s="78">
        <v>1.95</v>
      </c>
    </row>
    <row r="17" spans="2:13" ht="15.75" x14ac:dyDescent="0.25">
      <c r="B17" s="80">
        <v>42818</v>
      </c>
      <c r="C17" s="81">
        <v>0.25208333333333333</v>
      </c>
      <c r="D17" s="81">
        <v>0.2298611111111111</v>
      </c>
      <c r="E17" s="78"/>
      <c r="F17" s="78">
        <v>1</v>
      </c>
      <c r="I17" s="80">
        <v>42830</v>
      </c>
      <c r="J17" s="81">
        <v>0.25347222222222221</v>
      </c>
      <c r="K17" s="81">
        <v>0.31041666666666667</v>
      </c>
      <c r="L17" s="89">
        <v>1.36</v>
      </c>
      <c r="M17" s="78">
        <v>1.35</v>
      </c>
    </row>
    <row r="18" spans="2:13" ht="15.75" x14ac:dyDescent="0.25">
      <c r="B18" s="80">
        <v>42819</v>
      </c>
      <c r="C18" s="81">
        <v>0.25347222222222221</v>
      </c>
      <c r="D18" s="81">
        <v>0.2298611111111111</v>
      </c>
      <c r="E18" s="78"/>
      <c r="F18" s="78">
        <v>1</v>
      </c>
      <c r="I18" s="80">
        <v>42831</v>
      </c>
      <c r="J18" s="81">
        <v>0.25486111111111109</v>
      </c>
      <c r="K18" s="81">
        <v>0.31527777777777777</v>
      </c>
      <c r="L18" s="89">
        <v>1.45</v>
      </c>
      <c r="M18" s="78">
        <v>1.45</v>
      </c>
    </row>
    <row r="19" spans="2:13" ht="15.75" x14ac:dyDescent="0.25">
      <c r="B19" s="80">
        <v>42821</v>
      </c>
      <c r="C19" s="81">
        <v>0.2638888888888889</v>
      </c>
      <c r="D19" s="81">
        <v>0.22916666666666666</v>
      </c>
      <c r="E19" s="78"/>
      <c r="F19" s="78">
        <v>1</v>
      </c>
      <c r="I19" s="80">
        <v>42832</v>
      </c>
      <c r="J19" s="81">
        <v>0.25</v>
      </c>
      <c r="K19" s="81">
        <v>0.35416666666666669</v>
      </c>
      <c r="L19" s="89">
        <v>2.5</v>
      </c>
      <c r="M19" s="78">
        <v>2.5</v>
      </c>
    </row>
    <row r="20" spans="2:13" ht="15.75" x14ac:dyDescent="0.25">
      <c r="B20" s="80">
        <v>42822</v>
      </c>
      <c r="C20" s="81">
        <v>0.25</v>
      </c>
      <c r="D20" s="81">
        <v>0.22916666666666666</v>
      </c>
      <c r="E20" s="78"/>
      <c r="F20" s="78">
        <v>1</v>
      </c>
      <c r="I20" s="78"/>
      <c r="J20" s="81" t="s">
        <v>2</v>
      </c>
      <c r="K20" s="81" t="s">
        <v>21</v>
      </c>
      <c r="L20" s="89">
        <f>SUM(L11:L19)</f>
        <v>15.719999999999999</v>
      </c>
      <c r="M20" s="89">
        <f>SUM(M11:M19)</f>
        <v>15.549999999999999</v>
      </c>
    </row>
    <row r="21" spans="2:13" ht="15.75" x14ac:dyDescent="0.25">
      <c r="B21" s="80">
        <v>42823</v>
      </c>
      <c r="C21" s="81">
        <v>0.25</v>
      </c>
      <c r="D21" s="81">
        <v>0.22916666666666666</v>
      </c>
      <c r="E21" s="78"/>
      <c r="F21" s="78">
        <v>1</v>
      </c>
    </row>
    <row r="22" spans="2:13" ht="15.75" x14ac:dyDescent="0.25">
      <c r="B22" s="80">
        <v>42824</v>
      </c>
      <c r="C22" s="81">
        <v>0.28402777777777777</v>
      </c>
      <c r="D22" s="81">
        <v>0.22916666666666666</v>
      </c>
      <c r="E22" s="78"/>
      <c r="F22" s="78">
        <v>1</v>
      </c>
    </row>
    <row r="23" spans="2:13" ht="15.75" x14ac:dyDescent="0.25">
      <c r="B23" s="80">
        <v>42825</v>
      </c>
      <c r="C23" s="81">
        <v>0.19791666666666666</v>
      </c>
      <c r="D23" s="81">
        <v>0.23333333333333331</v>
      </c>
      <c r="E23" s="78"/>
      <c r="F23" s="78">
        <v>2.5</v>
      </c>
    </row>
    <row r="24" spans="2:13" ht="15.75" x14ac:dyDescent="0.25">
      <c r="B24" s="78"/>
      <c r="C24" s="78"/>
      <c r="D24" s="78"/>
      <c r="E24" s="78" t="s">
        <v>21</v>
      </c>
      <c r="F24" s="78">
        <f>SUM(F10:F23)</f>
        <v>15.5</v>
      </c>
    </row>
    <row r="25" spans="2:13" ht="15.75" x14ac:dyDescent="0.25">
      <c r="B25" s="96"/>
      <c r="C25" s="96"/>
      <c r="D25" s="79"/>
      <c r="E25" s="79"/>
      <c r="F25" s="79"/>
    </row>
    <row r="27" spans="2:13" x14ac:dyDescent="0.25">
      <c r="G27" s="95"/>
      <c r="H27" s="95"/>
      <c r="I27" s="95"/>
      <c r="J27" s="95"/>
    </row>
    <row r="28" spans="2:13" x14ac:dyDescent="0.25">
      <c r="G28" s="95"/>
      <c r="H28" s="95"/>
      <c r="I28" s="95"/>
      <c r="J28" s="95"/>
    </row>
    <row r="29" spans="2:13" x14ac:dyDescent="0.25">
      <c r="G29" s="95"/>
      <c r="H29" s="95"/>
      <c r="I29" s="95"/>
      <c r="J29" s="95"/>
    </row>
    <row r="32" spans="2:13" ht="59.25" x14ac:dyDescent="0.5">
      <c r="B32" s="83" t="s">
        <v>113</v>
      </c>
      <c r="C32" s="76" t="s">
        <v>101</v>
      </c>
      <c r="D32" s="3"/>
      <c r="E32" s="93" t="s">
        <v>121</v>
      </c>
      <c r="F32" s="3"/>
      <c r="G32" s="3"/>
      <c r="H32" s="3"/>
      <c r="I32" s="83" t="s">
        <v>113</v>
      </c>
      <c r="J32" s="76" t="s">
        <v>101</v>
      </c>
      <c r="K32" s="3"/>
      <c r="L32" s="88" t="s">
        <v>116</v>
      </c>
      <c r="M32" s="5" t="s">
        <v>115</v>
      </c>
    </row>
    <row r="33" spans="2:13" ht="23.25" x14ac:dyDescent="0.35">
      <c r="B33" s="86"/>
      <c r="C33" s="86" t="s">
        <v>16</v>
      </c>
      <c r="D33" s="86"/>
      <c r="E33" s="86"/>
      <c r="F33" s="86"/>
      <c r="G33" s="3"/>
      <c r="H33" s="3"/>
      <c r="I33" s="86"/>
      <c r="J33" s="86" t="s">
        <v>16</v>
      </c>
      <c r="K33" s="86"/>
      <c r="L33" s="86"/>
      <c r="M33" s="86"/>
    </row>
    <row r="34" spans="2:13" ht="23.25" x14ac:dyDescent="0.35">
      <c r="B34" s="86"/>
      <c r="C34" s="86" t="s">
        <v>102</v>
      </c>
      <c r="D34" s="86"/>
      <c r="E34" s="86"/>
      <c r="F34" s="86" t="s">
        <v>107</v>
      </c>
      <c r="G34" s="3"/>
      <c r="H34" s="3"/>
      <c r="I34" s="86"/>
      <c r="J34" s="86" t="s">
        <v>102</v>
      </c>
      <c r="K34" s="86"/>
      <c r="L34" s="86"/>
      <c r="M34" s="86" t="s">
        <v>107</v>
      </c>
    </row>
    <row r="35" spans="2:13" ht="23.25" x14ac:dyDescent="0.35">
      <c r="B35" s="85">
        <v>602957</v>
      </c>
      <c r="C35" s="85" t="s">
        <v>94</v>
      </c>
      <c r="D35" s="85"/>
      <c r="E35" s="85"/>
      <c r="F35" s="85"/>
      <c r="G35" s="3"/>
      <c r="H35" s="3"/>
      <c r="I35" s="84">
        <v>602515</v>
      </c>
      <c r="J35" s="84" t="s">
        <v>20</v>
      </c>
      <c r="K35" s="3"/>
      <c r="L35" s="87" t="s">
        <v>95</v>
      </c>
      <c r="M35" s="3" t="s">
        <v>105</v>
      </c>
    </row>
    <row r="36" spans="2:13" ht="23.25" x14ac:dyDescent="0.35">
      <c r="B36" s="85" t="s">
        <v>103</v>
      </c>
      <c r="C36" s="85" t="s">
        <v>118</v>
      </c>
      <c r="D36" s="85" t="s">
        <v>119</v>
      </c>
      <c r="E36" s="85" t="s">
        <v>111</v>
      </c>
      <c r="F36" s="85" t="s">
        <v>2</v>
      </c>
      <c r="G36" s="3"/>
      <c r="H36" s="3"/>
      <c r="I36" s="84" t="s">
        <v>103</v>
      </c>
      <c r="J36" s="84" t="s">
        <v>104</v>
      </c>
      <c r="K36" s="87" t="s">
        <v>117</v>
      </c>
      <c r="L36" s="3"/>
      <c r="M36" s="3" t="s">
        <v>106</v>
      </c>
    </row>
    <row r="37" spans="2:13" ht="21" x14ac:dyDescent="0.35">
      <c r="B37" s="85"/>
      <c r="C37" s="85" t="s">
        <v>95</v>
      </c>
      <c r="D37" s="85"/>
      <c r="E37" s="85"/>
      <c r="F37" s="85"/>
      <c r="G37" s="3"/>
      <c r="H37" s="3"/>
      <c r="I37" s="80">
        <v>42826</v>
      </c>
      <c r="J37" s="81">
        <v>0.25694444444444448</v>
      </c>
      <c r="K37" s="81">
        <v>0.22916666666666666</v>
      </c>
      <c r="L37" s="78"/>
      <c r="M37" s="78">
        <v>1</v>
      </c>
    </row>
    <row r="38" spans="2:13" ht="15.75" x14ac:dyDescent="0.25">
      <c r="B38" s="6">
        <v>42835</v>
      </c>
      <c r="C38" s="81">
        <v>0.25</v>
      </c>
      <c r="D38" s="81">
        <v>0.3125</v>
      </c>
      <c r="E38" s="89">
        <v>1.5</v>
      </c>
      <c r="F38" s="3" t="s">
        <v>2</v>
      </c>
      <c r="G38" s="3" t="s">
        <v>2</v>
      </c>
      <c r="H38" s="3"/>
      <c r="I38" s="80">
        <v>42828</v>
      </c>
      <c r="J38" s="81">
        <v>0.27638888888888885</v>
      </c>
      <c r="K38" s="81">
        <v>0.22916666666666666</v>
      </c>
      <c r="L38" s="78"/>
      <c r="M38" s="78">
        <v>1</v>
      </c>
    </row>
    <row r="39" spans="2:13" ht="15.75" x14ac:dyDescent="0.25">
      <c r="B39" s="6">
        <v>42836</v>
      </c>
      <c r="C39" s="81">
        <v>0.25208333333333333</v>
      </c>
      <c r="D39" s="81">
        <v>0.31597222222222221</v>
      </c>
      <c r="E39" s="89">
        <v>1.53</v>
      </c>
      <c r="F39" s="3" t="s">
        <v>2</v>
      </c>
      <c r="G39" s="3" t="s">
        <v>2</v>
      </c>
      <c r="H39" s="3"/>
      <c r="I39" s="80">
        <v>42829</v>
      </c>
      <c r="J39" s="81">
        <v>0.25694444444444448</v>
      </c>
      <c r="K39" s="81">
        <v>0.2298611111111111</v>
      </c>
      <c r="L39" s="78"/>
      <c r="M39" s="78">
        <v>1</v>
      </c>
    </row>
    <row r="40" spans="2:13" ht="15.75" x14ac:dyDescent="0.25">
      <c r="B40" s="6">
        <v>42837</v>
      </c>
      <c r="C40" s="81">
        <v>0.25694444444444448</v>
      </c>
      <c r="D40" s="81">
        <v>0.35972222222222222</v>
      </c>
      <c r="E40" s="89">
        <v>2.46</v>
      </c>
      <c r="F40" s="3" t="s">
        <v>2</v>
      </c>
      <c r="G40" s="3" t="s">
        <v>2</v>
      </c>
      <c r="H40" s="3"/>
      <c r="I40" s="80">
        <v>42830</v>
      </c>
      <c r="J40" s="81">
        <v>0.26250000000000001</v>
      </c>
      <c r="K40" s="81">
        <v>0.22916666666666666</v>
      </c>
      <c r="L40" s="78"/>
      <c r="M40" s="78">
        <v>1</v>
      </c>
    </row>
    <row r="41" spans="2:13" ht="15.75" x14ac:dyDescent="0.25">
      <c r="B41" s="6">
        <v>42843</v>
      </c>
      <c r="C41" s="81">
        <v>0.25694444444444448</v>
      </c>
      <c r="D41" s="81">
        <v>0.3520833333333333</v>
      </c>
      <c r="E41" s="89">
        <v>2.2799999999999998</v>
      </c>
      <c r="F41" s="3" t="s">
        <v>2</v>
      </c>
      <c r="G41" s="3" t="s">
        <v>2</v>
      </c>
      <c r="H41" s="3"/>
      <c r="I41" s="80">
        <v>42831</v>
      </c>
      <c r="J41" s="81">
        <v>0.29375000000000001</v>
      </c>
      <c r="K41" s="81">
        <v>0.22916666666666666</v>
      </c>
      <c r="L41" s="78"/>
      <c r="M41" s="78">
        <v>1</v>
      </c>
    </row>
    <row r="42" spans="2:13" ht="15.75" x14ac:dyDescent="0.25">
      <c r="B42" s="6">
        <v>42844</v>
      </c>
      <c r="C42" s="81">
        <v>0.25416666666666665</v>
      </c>
      <c r="D42" s="81">
        <v>0.35138888888888892</v>
      </c>
      <c r="E42" s="89">
        <v>2.33</v>
      </c>
      <c r="F42" s="3" t="s">
        <v>2</v>
      </c>
      <c r="G42" s="3" t="s">
        <v>2</v>
      </c>
      <c r="H42" s="3"/>
      <c r="I42" s="80">
        <v>42832</v>
      </c>
      <c r="J42" s="81">
        <v>0.26458333333333334</v>
      </c>
      <c r="K42" s="81">
        <v>0.23263888888888887</v>
      </c>
      <c r="L42" s="78"/>
      <c r="M42" s="78">
        <v>1</v>
      </c>
    </row>
    <row r="43" spans="2:13" ht="15.75" x14ac:dyDescent="0.25">
      <c r="B43" s="6">
        <v>42845</v>
      </c>
      <c r="C43" s="81">
        <v>0.25694444444444448</v>
      </c>
      <c r="D43" s="81">
        <v>0.3354166666666667</v>
      </c>
      <c r="E43" s="89">
        <v>1.88</v>
      </c>
      <c r="F43" s="3" t="s">
        <v>2</v>
      </c>
      <c r="G43" s="3" t="s">
        <v>2</v>
      </c>
      <c r="H43" s="3"/>
      <c r="I43" s="80">
        <v>42833</v>
      </c>
      <c r="J43" s="81">
        <v>0.26041666666666669</v>
      </c>
      <c r="K43" s="81">
        <v>0.22916666666666666</v>
      </c>
      <c r="L43" s="78"/>
      <c r="M43" s="78">
        <v>1</v>
      </c>
    </row>
    <row r="44" spans="2:13" ht="15.75" x14ac:dyDescent="0.25">
      <c r="B44" s="6">
        <v>42846</v>
      </c>
      <c r="C44" s="81">
        <v>0.25625000000000003</v>
      </c>
      <c r="D44" s="81">
        <v>0.35138888888888892</v>
      </c>
      <c r="E44" s="89">
        <v>2.2799999999999998</v>
      </c>
      <c r="F44" s="3" t="s">
        <v>2</v>
      </c>
      <c r="G44" s="3" t="s">
        <v>2</v>
      </c>
      <c r="H44" s="3"/>
      <c r="I44" s="80">
        <v>42835</v>
      </c>
      <c r="J44" s="81">
        <v>0.25347222222222221</v>
      </c>
      <c r="K44" s="81">
        <v>0.2298611111111111</v>
      </c>
      <c r="L44" s="78"/>
      <c r="M44" s="78">
        <v>1</v>
      </c>
    </row>
    <row r="45" spans="2:13" ht="15.75" x14ac:dyDescent="0.25">
      <c r="B45" s="6">
        <v>42847</v>
      </c>
      <c r="C45" s="81" t="s">
        <v>2</v>
      </c>
      <c r="D45" s="81" t="s">
        <v>2</v>
      </c>
      <c r="E45" s="89" t="s">
        <v>2</v>
      </c>
      <c r="F45" s="3" t="s">
        <v>2</v>
      </c>
      <c r="G45" s="3" t="s">
        <v>2</v>
      </c>
      <c r="H45" s="3"/>
      <c r="I45" s="80">
        <v>42836</v>
      </c>
      <c r="J45" s="81">
        <v>0.26111111111111113</v>
      </c>
      <c r="K45" s="81">
        <v>0.2298611111111111</v>
      </c>
      <c r="L45" s="78"/>
      <c r="M45" s="78">
        <v>1</v>
      </c>
    </row>
    <row r="46" spans="2:13" ht="15.75" x14ac:dyDescent="0.25">
      <c r="B46" s="6" t="s">
        <v>2</v>
      </c>
      <c r="C46" s="81" t="s">
        <v>2</v>
      </c>
      <c r="D46" s="81" t="s">
        <v>2</v>
      </c>
      <c r="E46" s="89" t="s">
        <v>2</v>
      </c>
      <c r="F46" s="3" t="s">
        <v>2</v>
      </c>
      <c r="G46" s="3" t="s">
        <v>2</v>
      </c>
      <c r="H46" s="3"/>
      <c r="I46" s="80">
        <v>42837</v>
      </c>
      <c r="J46" s="81">
        <v>0.23958333333333334</v>
      </c>
      <c r="K46" s="78"/>
      <c r="L46" s="78"/>
      <c r="M46" s="78">
        <v>1</v>
      </c>
    </row>
    <row r="47" spans="2:13" ht="15.75" x14ac:dyDescent="0.25">
      <c r="B47" s="6" t="s">
        <v>2</v>
      </c>
      <c r="C47" s="81" t="s">
        <v>2</v>
      </c>
      <c r="D47" s="81" t="s">
        <v>21</v>
      </c>
      <c r="E47" s="89">
        <f>SUM(E38:E46)</f>
        <v>14.26</v>
      </c>
      <c r="F47" s="9">
        <f>SUM(F38:F46)</f>
        <v>0</v>
      </c>
      <c r="G47" s="3"/>
      <c r="H47" s="3"/>
      <c r="I47" s="78"/>
      <c r="J47" s="78"/>
      <c r="K47" s="78" t="s">
        <v>108</v>
      </c>
      <c r="L47" s="78" t="s">
        <v>21</v>
      </c>
      <c r="M47" s="78">
        <f>SUM(M37:M46)</f>
        <v>10</v>
      </c>
    </row>
    <row r="48" spans="2:13" ht="15.75" x14ac:dyDescent="0.25">
      <c r="B48" t="s">
        <v>2</v>
      </c>
      <c r="I48" s="78"/>
      <c r="J48" s="78"/>
      <c r="K48" s="78"/>
      <c r="L48" s="78"/>
      <c r="M48" s="78"/>
    </row>
    <row r="49" spans="2:13" ht="15.75" x14ac:dyDescent="0.25">
      <c r="I49" s="80">
        <v>42843</v>
      </c>
      <c r="J49" s="81">
        <v>0.20138888888888887</v>
      </c>
      <c r="K49" s="81">
        <v>0.2298611111111111</v>
      </c>
      <c r="L49" s="78"/>
      <c r="M49" s="78">
        <v>1.5</v>
      </c>
    </row>
    <row r="50" spans="2:13" ht="15.75" x14ac:dyDescent="0.25">
      <c r="B50" s="95"/>
      <c r="C50" s="95"/>
      <c r="D50" s="95"/>
      <c r="E50" s="95"/>
      <c r="I50" s="80">
        <v>42845</v>
      </c>
      <c r="J50" s="81">
        <v>0.17152777777777775</v>
      </c>
      <c r="K50" s="81">
        <v>0.23680555555555557</v>
      </c>
      <c r="L50" s="78"/>
      <c r="M50" s="78">
        <v>2.5</v>
      </c>
    </row>
    <row r="51" spans="2:13" ht="15.75" x14ac:dyDescent="0.25">
      <c r="B51" s="95"/>
      <c r="C51" s="95"/>
      <c r="D51" s="95"/>
      <c r="E51" s="95"/>
      <c r="I51" s="78"/>
      <c r="J51" s="78"/>
      <c r="K51" s="78" t="s">
        <v>109</v>
      </c>
      <c r="L51" s="78" t="s">
        <v>21</v>
      </c>
      <c r="M51" s="78"/>
    </row>
    <row r="52" spans="2:13" ht="15.75" x14ac:dyDescent="0.25">
      <c r="B52" s="95"/>
      <c r="C52" s="95"/>
      <c r="D52" s="95"/>
      <c r="E52" s="95"/>
      <c r="I52" s="78"/>
      <c r="J52" s="78" t="s">
        <v>110</v>
      </c>
      <c r="K52" s="78"/>
      <c r="L52" s="78"/>
      <c r="M52" s="78">
        <f>SUM(M47:M50)</f>
        <v>14</v>
      </c>
    </row>
    <row r="53" spans="2:13" x14ac:dyDescent="0.25">
      <c r="B53" s="95"/>
      <c r="C53" s="95"/>
      <c r="D53" s="95"/>
      <c r="E53" s="95"/>
    </row>
    <row r="54" spans="2:13" x14ac:dyDescent="0.25">
      <c r="B54" s="95"/>
      <c r="C54" s="95"/>
      <c r="D54" s="95"/>
      <c r="E54" s="95"/>
    </row>
    <row r="57" spans="2:13" ht="35.25" x14ac:dyDescent="0.5">
      <c r="B57" s="98" t="s">
        <v>113</v>
      </c>
      <c r="C57" s="99" t="s">
        <v>101</v>
      </c>
      <c r="D57" s="82"/>
      <c r="E57" s="100" t="s">
        <v>116</v>
      </c>
      <c r="F57" s="5" t="s">
        <v>115</v>
      </c>
    </row>
    <row r="58" spans="2:13" ht="23.25" x14ac:dyDescent="0.35">
      <c r="B58" s="86"/>
      <c r="C58" s="86" t="s">
        <v>16</v>
      </c>
      <c r="D58" s="86"/>
      <c r="E58" s="86"/>
      <c r="F58" s="86"/>
    </row>
    <row r="59" spans="2:13" ht="23.25" x14ac:dyDescent="0.35">
      <c r="B59" s="86"/>
      <c r="C59" s="86" t="s">
        <v>102</v>
      </c>
      <c r="D59" s="86"/>
      <c r="E59" s="86"/>
      <c r="F59" s="86" t="s">
        <v>107</v>
      </c>
    </row>
    <row r="60" spans="2:13" ht="23.25" x14ac:dyDescent="0.35">
      <c r="B60" s="84">
        <v>602515</v>
      </c>
      <c r="C60" s="84" t="s">
        <v>20</v>
      </c>
      <c r="D60" s="3"/>
      <c r="E60" s="87" t="s">
        <v>95</v>
      </c>
      <c r="F60" s="3" t="s">
        <v>105</v>
      </c>
    </row>
    <row r="61" spans="2:13" ht="23.25" x14ac:dyDescent="0.35">
      <c r="B61" s="84" t="s">
        <v>103</v>
      </c>
      <c r="C61" s="84" t="s">
        <v>104</v>
      </c>
      <c r="D61" s="3" t="s">
        <v>117</v>
      </c>
      <c r="E61" s="3"/>
      <c r="F61" s="3" t="s">
        <v>106</v>
      </c>
    </row>
    <row r="62" spans="2:13" ht="15.75" x14ac:dyDescent="0.25">
      <c r="B62" s="80">
        <v>42826</v>
      </c>
      <c r="C62" s="81">
        <v>0.25694444444444448</v>
      </c>
      <c r="D62" s="81">
        <v>0.22916666666666666</v>
      </c>
      <c r="E62" s="78"/>
      <c r="F62" s="78">
        <v>1</v>
      </c>
    </row>
    <row r="63" spans="2:13" ht="15.75" x14ac:dyDescent="0.25">
      <c r="B63" s="80">
        <v>42828</v>
      </c>
      <c r="C63" s="81">
        <v>0.27638888888888885</v>
      </c>
      <c r="D63" s="81">
        <v>0.22916666666666666</v>
      </c>
      <c r="E63" s="78"/>
      <c r="F63" s="78">
        <v>1</v>
      </c>
    </row>
    <row r="64" spans="2:13" ht="15.75" x14ac:dyDescent="0.25">
      <c r="B64" s="80">
        <v>42829</v>
      </c>
      <c r="C64" s="81">
        <v>0.25694444444444448</v>
      </c>
      <c r="D64" s="81">
        <v>0.2298611111111111</v>
      </c>
      <c r="E64" s="78"/>
      <c r="F64" s="78">
        <v>1</v>
      </c>
    </row>
    <row r="65" spans="2:6" ht="15.75" x14ac:dyDescent="0.25">
      <c r="B65" s="80">
        <v>42830</v>
      </c>
      <c r="C65" s="81">
        <v>0.26250000000000001</v>
      </c>
      <c r="D65" s="81">
        <v>0.22916666666666666</v>
      </c>
      <c r="E65" s="78"/>
      <c r="F65" s="78">
        <v>1</v>
      </c>
    </row>
    <row r="66" spans="2:6" ht="15.75" x14ac:dyDescent="0.25">
      <c r="B66" s="80">
        <v>42831</v>
      </c>
      <c r="C66" s="81">
        <v>0.29375000000000001</v>
      </c>
      <c r="D66" s="81">
        <v>0.22916666666666666</v>
      </c>
      <c r="E66" s="78"/>
      <c r="F66" s="78">
        <v>1</v>
      </c>
    </row>
    <row r="67" spans="2:6" ht="15.75" x14ac:dyDescent="0.25">
      <c r="B67" s="80">
        <v>42832</v>
      </c>
      <c r="C67" s="81">
        <v>0.26458333333333334</v>
      </c>
      <c r="D67" s="81">
        <v>0.23263888888888887</v>
      </c>
      <c r="E67" s="78"/>
      <c r="F67" s="78">
        <v>1</v>
      </c>
    </row>
    <row r="68" spans="2:6" ht="15.75" x14ac:dyDescent="0.25">
      <c r="B68" s="80">
        <v>42833</v>
      </c>
      <c r="C68" s="81">
        <v>0.26041666666666669</v>
      </c>
      <c r="D68" s="81">
        <v>0.22916666666666666</v>
      </c>
      <c r="E68" s="78"/>
      <c r="F68" s="78">
        <v>1</v>
      </c>
    </row>
    <row r="69" spans="2:6" ht="15.75" x14ac:dyDescent="0.25">
      <c r="B69" s="80">
        <v>42835</v>
      </c>
      <c r="C69" s="81">
        <v>0.25347222222222221</v>
      </c>
      <c r="D69" s="81">
        <v>0.2298611111111111</v>
      </c>
      <c r="E69" s="78"/>
      <c r="F69" s="78">
        <v>1</v>
      </c>
    </row>
    <row r="70" spans="2:6" ht="15.75" x14ac:dyDescent="0.25">
      <c r="B70" s="80">
        <v>42836</v>
      </c>
      <c r="C70" s="81">
        <v>0.26111111111111113</v>
      </c>
      <c r="D70" s="81">
        <v>0.2298611111111111</v>
      </c>
      <c r="E70" s="78"/>
      <c r="F70" s="78">
        <v>1</v>
      </c>
    </row>
    <row r="71" spans="2:6" ht="15.75" x14ac:dyDescent="0.25">
      <c r="B71" s="80">
        <v>42837</v>
      </c>
      <c r="C71" s="81">
        <v>0.23958333333333334</v>
      </c>
      <c r="D71" s="78"/>
      <c r="E71" s="78"/>
      <c r="F71" s="78">
        <v>1</v>
      </c>
    </row>
    <row r="72" spans="2:6" ht="15.75" x14ac:dyDescent="0.25">
      <c r="B72" s="78"/>
      <c r="C72" s="78"/>
      <c r="D72" s="78" t="s">
        <v>108</v>
      </c>
      <c r="E72" s="78" t="s">
        <v>21</v>
      </c>
      <c r="F72" s="78">
        <f>SUM(F62:F71)</f>
        <v>10</v>
      </c>
    </row>
    <row r="73" spans="2:6" ht="15.75" x14ac:dyDescent="0.25">
      <c r="B73" s="78"/>
      <c r="C73" s="78"/>
      <c r="D73" s="78"/>
      <c r="E73" s="78"/>
      <c r="F73" s="78"/>
    </row>
    <row r="74" spans="2:6" ht="15.75" x14ac:dyDescent="0.25">
      <c r="B74" s="80">
        <v>42843</v>
      </c>
      <c r="C74" s="81">
        <v>0.20138888888888887</v>
      </c>
      <c r="D74" s="81">
        <v>0.2298611111111111</v>
      </c>
      <c r="E74" s="78"/>
      <c r="F74" s="78">
        <v>1.5</v>
      </c>
    </row>
    <row r="75" spans="2:6" ht="15.75" x14ac:dyDescent="0.25">
      <c r="B75" s="80">
        <v>42845</v>
      </c>
      <c r="C75" s="81">
        <v>0.17152777777777775</v>
      </c>
      <c r="D75" s="81">
        <v>0.23680555555555557</v>
      </c>
      <c r="E75" s="78"/>
      <c r="F75" s="78">
        <v>2.5</v>
      </c>
    </row>
    <row r="76" spans="2:6" ht="15.75" x14ac:dyDescent="0.25">
      <c r="B76" s="78"/>
      <c r="C76" s="78"/>
      <c r="D76" s="78" t="s">
        <v>109</v>
      </c>
      <c r="E76" s="78" t="s">
        <v>21</v>
      </c>
      <c r="F76" s="78"/>
    </row>
    <row r="77" spans="2:6" ht="15.75" x14ac:dyDescent="0.25">
      <c r="B77" s="78"/>
      <c r="C77" s="78" t="s">
        <v>110</v>
      </c>
      <c r="D77" s="78"/>
      <c r="E77" s="78"/>
      <c r="F77" s="78">
        <f>SUM(F72:F75)</f>
        <v>14</v>
      </c>
    </row>
  </sheetData>
  <pageMargins left="0.2" right="0.2" top="1" bottom="0.25" header="0.3" footer="0.3"/>
  <pageSetup scale="80" orientation="landscape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55"/>
  <sheetViews>
    <sheetView topLeftCell="C36" workbookViewId="0">
      <selection activeCell="L29" sqref="L29"/>
    </sheetView>
  </sheetViews>
  <sheetFormatPr defaultRowHeight="15" x14ac:dyDescent="0.25"/>
  <cols>
    <col min="3" max="3" width="12.5703125" customWidth="1"/>
    <col min="4" max="4" width="27" customWidth="1"/>
    <col min="5" max="5" width="28.42578125" customWidth="1"/>
    <col min="6" max="6" width="30.85546875" customWidth="1"/>
    <col min="7" max="7" width="15.140625" customWidth="1"/>
    <col min="8" max="8" width="21.85546875" customWidth="1"/>
    <col min="9" max="9" width="19.7109375" customWidth="1"/>
    <col min="10" max="10" width="16" customWidth="1"/>
    <col min="11" max="11" width="12.85546875" customWidth="1"/>
  </cols>
  <sheetData>
    <row r="3" spans="3:12" x14ac:dyDescent="0.25">
      <c r="E3" t="s">
        <v>2</v>
      </c>
    </row>
    <row r="4" spans="3:12" ht="24" customHeight="1" x14ac:dyDescent="0.3">
      <c r="C4" s="104"/>
      <c r="D4" s="104" t="s">
        <v>17</v>
      </c>
      <c r="E4" s="104" t="s">
        <v>103</v>
      </c>
      <c r="F4" s="104" t="s">
        <v>17</v>
      </c>
      <c r="G4" s="104" t="s">
        <v>124</v>
      </c>
      <c r="H4" s="104" t="s">
        <v>131</v>
      </c>
      <c r="I4" s="104" t="s">
        <v>132</v>
      </c>
      <c r="J4" s="104" t="s">
        <v>133</v>
      </c>
      <c r="K4" s="110"/>
      <c r="L4" s="111"/>
    </row>
    <row r="5" spans="3:12" ht="24" customHeight="1" x14ac:dyDescent="0.3">
      <c r="C5" s="104"/>
      <c r="D5" s="104" t="s">
        <v>2</v>
      </c>
      <c r="E5" s="104"/>
      <c r="F5" s="104"/>
      <c r="G5" s="104"/>
      <c r="H5" s="104"/>
      <c r="I5" s="104"/>
      <c r="J5" s="104" t="s">
        <v>134</v>
      </c>
      <c r="K5" s="110"/>
      <c r="L5" s="111"/>
    </row>
    <row r="6" spans="3:12" ht="18.75" x14ac:dyDescent="0.3">
      <c r="C6" s="87">
        <v>601004</v>
      </c>
      <c r="D6" s="87" t="s">
        <v>1</v>
      </c>
      <c r="E6" s="87" t="s">
        <v>122</v>
      </c>
      <c r="F6" s="87" t="s">
        <v>123</v>
      </c>
      <c r="G6" s="87" t="s">
        <v>125</v>
      </c>
      <c r="H6" s="92">
        <v>481</v>
      </c>
      <c r="I6" s="92">
        <v>10</v>
      </c>
      <c r="J6" s="92">
        <v>39.76</v>
      </c>
      <c r="K6" s="111"/>
      <c r="L6" s="111"/>
    </row>
    <row r="7" spans="3:12" ht="18.75" x14ac:dyDescent="0.3">
      <c r="C7" s="87"/>
      <c r="D7" s="87"/>
      <c r="E7" s="87"/>
      <c r="F7" s="87"/>
      <c r="G7" s="87"/>
      <c r="H7" s="92"/>
      <c r="I7" s="92"/>
      <c r="J7" s="92"/>
      <c r="K7" s="111"/>
      <c r="L7" s="111"/>
    </row>
    <row r="8" spans="3:12" ht="18.75" x14ac:dyDescent="0.3">
      <c r="C8" s="87" t="s">
        <v>28</v>
      </c>
      <c r="D8" s="87" t="s">
        <v>8</v>
      </c>
      <c r="E8" s="87" t="s">
        <v>127</v>
      </c>
      <c r="F8" s="87" t="s">
        <v>123</v>
      </c>
      <c r="G8" s="87" t="s">
        <v>126</v>
      </c>
      <c r="H8" s="92">
        <v>481</v>
      </c>
      <c r="I8" s="92">
        <v>10</v>
      </c>
      <c r="J8" s="92">
        <v>39.76</v>
      </c>
      <c r="K8" s="111"/>
      <c r="L8" s="111"/>
    </row>
    <row r="9" spans="3:12" ht="18.75" x14ac:dyDescent="0.3">
      <c r="C9" s="87"/>
      <c r="D9" s="87"/>
      <c r="E9" s="87"/>
      <c r="F9" s="87"/>
      <c r="G9" s="87"/>
      <c r="H9" s="92"/>
      <c r="I9" s="92"/>
      <c r="J9" s="92"/>
      <c r="K9" s="111"/>
      <c r="L9" s="111"/>
    </row>
    <row r="10" spans="3:12" ht="18.75" x14ac:dyDescent="0.3">
      <c r="C10" s="87">
        <v>601012</v>
      </c>
      <c r="D10" s="87" t="s">
        <v>12</v>
      </c>
      <c r="E10" s="87" t="s">
        <v>127</v>
      </c>
      <c r="F10" s="87" t="s">
        <v>123</v>
      </c>
      <c r="G10" s="87" t="s">
        <v>125</v>
      </c>
      <c r="H10" s="92">
        <v>481</v>
      </c>
      <c r="I10" s="92">
        <v>10</v>
      </c>
      <c r="J10" s="92">
        <v>39.76</v>
      </c>
      <c r="K10" s="111"/>
      <c r="L10" s="111"/>
    </row>
    <row r="11" spans="3:12" ht="18.75" x14ac:dyDescent="0.3">
      <c r="C11" s="87"/>
      <c r="D11" s="87"/>
      <c r="E11" s="87"/>
      <c r="F11" s="87"/>
      <c r="G11" s="87"/>
      <c r="H11" s="92"/>
      <c r="I11" s="92"/>
      <c r="J11" s="92"/>
      <c r="K11" s="111"/>
      <c r="L11" s="111"/>
    </row>
    <row r="12" spans="3:12" ht="18.75" x14ac:dyDescent="0.3">
      <c r="C12" s="87" t="s">
        <v>27</v>
      </c>
      <c r="D12" s="87" t="s">
        <v>11</v>
      </c>
      <c r="E12" s="87" t="s">
        <v>127</v>
      </c>
      <c r="F12" s="87" t="s">
        <v>123</v>
      </c>
      <c r="G12" s="87" t="s">
        <v>126</v>
      </c>
      <c r="H12" s="92">
        <v>481</v>
      </c>
      <c r="I12" s="92">
        <v>10</v>
      </c>
      <c r="J12" s="92">
        <v>28.23</v>
      </c>
      <c r="K12" s="111"/>
      <c r="L12" s="111"/>
    </row>
    <row r="13" spans="3:12" ht="18.75" x14ac:dyDescent="0.3">
      <c r="C13" s="87"/>
      <c r="D13" s="87"/>
      <c r="E13" s="87"/>
      <c r="F13" s="87"/>
      <c r="G13" s="87"/>
      <c r="H13" s="92"/>
      <c r="I13" s="92"/>
      <c r="J13" s="92"/>
      <c r="K13" s="111"/>
      <c r="L13" s="111"/>
    </row>
    <row r="14" spans="3:12" ht="18.75" x14ac:dyDescent="0.3">
      <c r="C14" s="87" t="s">
        <v>26</v>
      </c>
      <c r="D14" s="87" t="s">
        <v>18</v>
      </c>
      <c r="E14" s="87" t="s">
        <v>127</v>
      </c>
      <c r="F14" s="87" t="s">
        <v>123</v>
      </c>
      <c r="G14" s="87" t="s">
        <v>126</v>
      </c>
      <c r="H14" s="92">
        <v>481</v>
      </c>
      <c r="I14" s="92">
        <v>10</v>
      </c>
      <c r="J14" s="92">
        <v>39.76</v>
      </c>
      <c r="K14" s="111"/>
      <c r="L14" s="111"/>
    </row>
    <row r="15" spans="3:12" ht="18.75" x14ac:dyDescent="0.3">
      <c r="C15" s="105"/>
      <c r="D15" s="105"/>
      <c r="E15" s="106"/>
      <c r="F15" s="106"/>
      <c r="G15" s="106"/>
      <c r="H15" s="107"/>
      <c r="I15" s="107"/>
      <c r="J15" s="107"/>
      <c r="K15" s="111"/>
      <c r="L15" s="111"/>
    </row>
    <row r="16" spans="3:12" x14ac:dyDescent="0.25">
      <c r="C16" s="95"/>
      <c r="D16" s="95"/>
    </row>
    <row r="17" spans="3:12" x14ac:dyDescent="0.25">
      <c r="C17" s="95"/>
      <c r="D17" s="95"/>
    </row>
    <row r="18" spans="3:12" ht="18.75" x14ac:dyDescent="0.3">
      <c r="C18" s="104"/>
      <c r="D18" s="104" t="s">
        <v>142</v>
      </c>
      <c r="E18" s="104" t="s">
        <v>145</v>
      </c>
      <c r="F18" s="104"/>
      <c r="G18" s="104"/>
      <c r="H18" s="104"/>
      <c r="I18" s="104" t="s">
        <v>2</v>
      </c>
      <c r="J18" s="104"/>
      <c r="K18" s="105"/>
      <c r="L18" s="95"/>
    </row>
    <row r="19" spans="3:12" ht="18.75" x14ac:dyDescent="0.3">
      <c r="C19" s="104"/>
      <c r="D19" s="104"/>
      <c r="E19" s="104" t="s">
        <v>139</v>
      </c>
      <c r="F19" s="104" t="s">
        <v>148</v>
      </c>
      <c r="G19" s="104"/>
      <c r="H19" s="104" t="s">
        <v>140</v>
      </c>
      <c r="I19" s="104" t="s">
        <v>140</v>
      </c>
      <c r="J19" s="104"/>
      <c r="K19" s="105"/>
      <c r="L19" s="95"/>
    </row>
    <row r="20" spans="3:12" ht="18.75" x14ac:dyDescent="0.3">
      <c r="C20" s="104"/>
      <c r="D20" s="104" t="s">
        <v>17</v>
      </c>
      <c r="E20" s="104" t="s">
        <v>103</v>
      </c>
      <c r="F20" s="104" t="s">
        <v>17</v>
      </c>
      <c r="G20" s="104" t="s">
        <v>124</v>
      </c>
      <c r="H20" s="104" t="s">
        <v>131</v>
      </c>
      <c r="I20" s="104" t="s">
        <v>132</v>
      </c>
      <c r="J20" s="104" t="s">
        <v>147</v>
      </c>
      <c r="K20" s="105"/>
      <c r="L20" s="95"/>
    </row>
    <row r="21" spans="3:12" ht="18.75" x14ac:dyDescent="0.3">
      <c r="C21" s="104"/>
      <c r="D21" s="104" t="s">
        <v>2</v>
      </c>
      <c r="E21" s="104"/>
      <c r="F21" s="104"/>
      <c r="G21" s="104"/>
      <c r="H21" s="104"/>
      <c r="I21" s="104"/>
      <c r="J21" s="104" t="s">
        <v>2</v>
      </c>
      <c r="K21" s="105"/>
      <c r="L21" s="95"/>
    </row>
    <row r="22" spans="3:12" ht="18.75" x14ac:dyDescent="0.3">
      <c r="C22" s="87">
        <v>601004</v>
      </c>
      <c r="D22" s="87" t="s">
        <v>1</v>
      </c>
      <c r="E22" s="87" t="s">
        <v>122</v>
      </c>
      <c r="F22" s="87" t="s">
        <v>123</v>
      </c>
      <c r="G22" s="87" t="s">
        <v>125</v>
      </c>
      <c r="H22" s="92">
        <v>481</v>
      </c>
      <c r="I22" s="92">
        <v>10</v>
      </c>
      <c r="J22" s="92">
        <v>0</v>
      </c>
      <c r="K22" s="105"/>
      <c r="L22" s="95"/>
    </row>
    <row r="23" spans="3:12" ht="18.75" x14ac:dyDescent="0.3">
      <c r="C23" s="87"/>
      <c r="D23" s="87"/>
      <c r="E23" s="87"/>
      <c r="F23" s="87"/>
      <c r="G23" s="87"/>
      <c r="H23" s="92"/>
      <c r="I23" s="92"/>
      <c r="J23" s="92" t="s">
        <v>2</v>
      </c>
      <c r="K23" s="105"/>
      <c r="L23" s="95"/>
    </row>
    <row r="24" spans="3:12" ht="18.75" x14ac:dyDescent="0.3">
      <c r="C24" s="87" t="s">
        <v>28</v>
      </c>
      <c r="D24" s="87" t="s">
        <v>8</v>
      </c>
      <c r="E24" s="87" t="s">
        <v>127</v>
      </c>
      <c r="F24" s="87" t="s">
        <v>123</v>
      </c>
      <c r="G24" s="87" t="s">
        <v>126</v>
      </c>
      <c r="H24" s="92">
        <v>481</v>
      </c>
      <c r="I24" s="92">
        <v>10</v>
      </c>
      <c r="J24" s="92">
        <v>1</v>
      </c>
      <c r="K24" s="105"/>
      <c r="L24" s="95"/>
    </row>
    <row r="25" spans="3:12" ht="18.75" x14ac:dyDescent="0.3">
      <c r="C25" s="87"/>
      <c r="D25" s="87"/>
      <c r="E25" s="87"/>
      <c r="F25" s="87"/>
      <c r="G25" s="87"/>
      <c r="H25" s="92"/>
      <c r="I25" s="92"/>
      <c r="J25" s="92"/>
      <c r="K25" s="105"/>
      <c r="L25" s="95"/>
    </row>
    <row r="26" spans="3:12" ht="18.75" x14ac:dyDescent="0.3">
      <c r="C26" s="87">
        <v>601012</v>
      </c>
      <c r="D26" s="87" t="s">
        <v>12</v>
      </c>
      <c r="E26" s="87" t="s">
        <v>127</v>
      </c>
      <c r="F26" s="87" t="s">
        <v>123</v>
      </c>
      <c r="G26" s="87" t="s">
        <v>125</v>
      </c>
      <c r="H26" s="92">
        <v>481</v>
      </c>
      <c r="I26" s="92">
        <v>10</v>
      </c>
      <c r="J26" s="92">
        <v>1</v>
      </c>
      <c r="K26" s="105"/>
      <c r="L26" s="95"/>
    </row>
    <row r="27" spans="3:12" ht="18.75" x14ac:dyDescent="0.3">
      <c r="C27" s="87"/>
      <c r="D27" s="87"/>
      <c r="E27" s="87"/>
      <c r="F27" s="87"/>
      <c r="G27" s="87"/>
      <c r="H27" s="92"/>
      <c r="I27" s="92"/>
      <c r="J27" s="92"/>
      <c r="K27" s="105"/>
      <c r="L27" s="95"/>
    </row>
    <row r="28" spans="3:12" ht="18.75" x14ac:dyDescent="0.3">
      <c r="C28" s="87" t="s">
        <v>27</v>
      </c>
      <c r="D28" s="87" t="s">
        <v>11</v>
      </c>
      <c r="E28" s="87" t="s">
        <v>127</v>
      </c>
      <c r="F28" s="87" t="s">
        <v>123</v>
      </c>
      <c r="G28" s="87" t="s">
        <v>126</v>
      </c>
      <c r="H28" s="92">
        <v>481</v>
      </c>
      <c r="I28" s="92">
        <v>10</v>
      </c>
      <c r="J28" s="92">
        <v>2</v>
      </c>
      <c r="K28" s="105"/>
      <c r="L28" s="95"/>
    </row>
    <row r="29" spans="3:12" ht="18.75" x14ac:dyDescent="0.3">
      <c r="C29" s="87"/>
      <c r="D29" s="87"/>
      <c r="E29" s="87"/>
      <c r="F29" s="87"/>
      <c r="G29" s="87"/>
      <c r="H29" s="92"/>
      <c r="I29" s="92"/>
      <c r="J29" s="92" t="s">
        <v>2</v>
      </c>
      <c r="K29" s="105"/>
      <c r="L29" s="95"/>
    </row>
    <row r="30" spans="3:12" ht="18.75" x14ac:dyDescent="0.3">
      <c r="C30" s="87" t="s">
        <v>26</v>
      </c>
      <c r="D30" s="87" t="s">
        <v>18</v>
      </c>
      <c r="E30" s="87" t="s">
        <v>127</v>
      </c>
      <c r="F30" s="87" t="s">
        <v>123</v>
      </c>
      <c r="G30" s="87" t="s">
        <v>126</v>
      </c>
      <c r="H30" s="92">
        <v>481</v>
      </c>
      <c r="I30" s="92">
        <v>10</v>
      </c>
      <c r="J30" s="92">
        <v>1</v>
      </c>
      <c r="K30" s="105"/>
      <c r="L30" s="95"/>
    </row>
    <row r="31" spans="3:12" x14ac:dyDescent="0.25">
      <c r="C31" s="95"/>
      <c r="D31" s="95"/>
      <c r="E31" s="95"/>
      <c r="F31" s="95"/>
      <c r="G31" s="95"/>
      <c r="H31" s="101"/>
      <c r="I31" s="101"/>
      <c r="J31" s="101"/>
      <c r="K31" s="95"/>
      <c r="L31" s="95"/>
    </row>
    <row r="32" spans="3:12" x14ac:dyDescent="0.25">
      <c r="C32" s="95"/>
      <c r="D32" s="95"/>
      <c r="E32" s="95"/>
      <c r="F32" s="95"/>
      <c r="G32" s="95"/>
      <c r="H32" s="95"/>
      <c r="I32" s="95"/>
      <c r="J32" s="95"/>
      <c r="K32" s="95"/>
      <c r="L32" s="95"/>
    </row>
    <row r="33" spans="3:11" x14ac:dyDescent="0.25">
      <c r="C33" s="95"/>
      <c r="D33" s="95"/>
      <c r="E33" s="95"/>
      <c r="F33" s="95"/>
      <c r="G33" s="95"/>
      <c r="H33" s="95"/>
      <c r="I33" s="95"/>
      <c r="J33" s="95"/>
      <c r="K33" s="95"/>
    </row>
    <row r="34" spans="3:11" x14ac:dyDescent="0.25">
      <c r="C34" s="95"/>
      <c r="D34" s="95"/>
      <c r="E34" s="95"/>
      <c r="F34" s="95"/>
      <c r="G34" s="95"/>
      <c r="H34" s="95"/>
      <c r="I34" s="95"/>
      <c r="J34" s="95"/>
      <c r="K34" s="95"/>
    </row>
    <row r="35" spans="3:11" x14ac:dyDescent="0.25">
      <c r="C35" s="95"/>
      <c r="D35" s="95"/>
      <c r="E35" s="95"/>
      <c r="F35" s="95"/>
      <c r="G35" s="95"/>
      <c r="H35" s="95"/>
      <c r="I35" s="95"/>
      <c r="J35" s="95"/>
      <c r="K35" s="95"/>
    </row>
    <row r="36" spans="3:11" x14ac:dyDescent="0.25">
      <c r="C36" s="95"/>
      <c r="D36" s="95"/>
      <c r="E36" s="95"/>
      <c r="F36" s="95"/>
      <c r="G36" s="95"/>
      <c r="H36" s="95"/>
      <c r="I36" s="95"/>
      <c r="J36" s="95"/>
      <c r="K36" s="95"/>
    </row>
    <row r="37" spans="3:11" x14ac:dyDescent="0.25">
      <c r="C37" s="95"/>
      <c r="D37" s="95"/>
      <c r="E37" s="95"/>
      <c r="F37" s="95"/>
      <c r="G37" s="95"/>
      <c r="H37" s="95"/>
      <c r="I37" s="95"/>
      <c r="J37" s="95"/>
      <c r="K37" s="95"/>
    </row>
    <row r="38" spans="3:11" x14ac:dyDescent="0.25">
      <c r="C38" s="95"/>
      <c r="D38" s="95"/>
      <c r="E38" s="95"/>
      <c r="F38" s="95"/>
      <c r="G38" s="95"/>
      <c r="H38" s="95"/>
      <c r="I38" s="95"/>
      <c r="J38" s="95"/>
      <c r="K38" s="95"/>
    </row>
    <row r="39" spans="3:11" x14ac:dyDescent="0.25">
      <c r="C39" s="95"/>
      <c r="D39" s="95"/>
      <c r="E39" s="95"/>
      <c r="F39" s="95"/>
      <c r="G39" s="95"/>
      <c r="H39" s="95"/>
      <c r="I39" s="95"/>
      <c r="J39" s="95"/>
      <c r="K39" s="95"/>
    </row>
    <row r="40" spans="3:11" ht="23.25" x14ac:dyDescent="0.35">
      <c r="C40" s="102"/>
      <c r="D40" s="102" t="s">
        <v>16</v>
      </c>
      <c r="E40" s="102"/>
      <c r="F40" s="102"/>
      <c r="G40" s="102"/>
      <c r="H40" s="102"/>
      <c r="I40" s="102"/>
      <c r="J40" s="102" t="s">
        <v>143</v>
      </c>
      <c r="K40" s="84"/>
    </row>
    <row r="41" spans="3:11" ht="23.25" x14ac:dyDescent="0.35">
      <c r="C41" s="102"/>
      <c r="D41" s="102"/>
      <c r="E41" s="102" t="s">
        <v>103</v>
      </c>
      <c r="F41" s="102" t="s">
        <v>16</v>
      </c>
      <c r="G41" s="102"/>
      <c r="H41" s="102" t="s">
        <v>135</v>
      </c>
      <c r="I41" s="102" t="s">
        <v>136</v>
      </c>
      <c r="J41" s="102" t="s">
        <v>144</v>
      </c>
      <c r="K41" s="84"/>
    </row>
    <row r="42" spans="3:11" ht="18.75" x14ac:dyDescent="0.3">
      <c r="C42" s="87">
        <v>602515</v>
      </c>
      <c r="D42" s="87" t="s">
        <v>20</v>
      </c>
      <c r="E42" s="87" t="s">
        <v>128</v>
      </c>
      <c r="F42" s="87" t="s">
        <v>123</v>
      </c>
      <c r="G42" s="87" t="s">
        <v>125</v>
      </c>
      <c r="H42" s="92">
        <v>14700</v>
      </c>
      <c r="I42" s="92">
        <v>680</v>
      </c>
      <c r="J42" s="92">
        <f>SUM(H42:I42)</f>
        <v>15380</v>
      </c>
      <c r="K42" s="3"/>
    </row>
    <row r="43" spans="3:11" ht="18.75" x14ac:dyDescent="0.3">
      <c r="C43" s="87"/>
      <c r="D43" s="87"/>
      <c r="E43" s="87"/>
      <c r="F43" s="87"/>
      <c r="G43" s="87"/>
      <c r="H43" s="92"/>
      <c r="I43" s="92"/>
      <c r="J43" s="92"/>
      <c r="K43" s="3"/>
    </row>
    <row r="44" spans="3:11" ht="18.75" x14ac:dyDescent="0.3">
      <c r="C44" s="87">
        <v>602957</v>
      </c>
      <c r="D44" s="87" t="s">
        <v>25</v>
      </c>
      <c r="E44" s="87" t="s">
        <v>129</v>
      </c>
      <c r="F44" s="87" t="s">
        <v>130</v>
      </c>
      <c r="G44" s="87" t="s">
        <v>125</v>
      </c>
      <c r="H44" s="92">
        <v>15000</v>
      </c>
      <c r="I44" s="92">
        <v>1500</v>
      </c>
      <c r="J44" s="92">
        <f>SUM(H44:I44)</f>
        <v>16500</v>
      </c>
      <c r="K44" s="3"/>
    </row>
    <row r="45" spans="3:11" ht="18.75" x14ac:dyDescent="0.3">
      <c r="C45" s="87"/>
      <c r="D45" s="87"/>
      <c r="E45" s="87"/>
      <c r="F45" s="87"/>
      <c r="G45" s="87"/>
      <c r="H45" s="87"/>
      <c r="I45" s="87"/>
      <c r="J45" s="87"/>
      <c r="K45" s="3"/>
    </row>
    <row r="48" spans="3:11" ht="18.75" x14ac:dyDescent="0.3">
      <c r="C48" s="104"/>
      <c r="D48" s="104"/>
      <c r="E48" s="104"/>
      <c r="F48" s="104" t="s">
        <v>146</v>
      </c>
      <c r="G48" s="104"/>
      <c r="H48" s="104"/>
      <c r="I48" s="104"/>
      <c r="J48" s="103"/>
      <c r="K48" s="103"/>
    </row>
    <row r="49" spans="3:11" ht="37.5" x14ac:dyDescent="0.3">
      <c r="C49" s="104"/>
      <c r="D49" s="104" t="s">
        <v>16</v>
      </c>
      <c r="E49" s="104"/>
      <c r="F49" s="104" t="s">
        <v>141</v>
      </c>
      <c r="G49" s="104" t="s">
        <v>149</v>
      </c>
      <c r="H49" s="104"/>
      <c r="I49" s="104"/>
      <c r="J49" s="104" t="s">
        <v>142</v>
      </c>
      <c r="K49" s="112" t="s">
        <v>147</v>
      </c>
    </row>
    <row r="50" spans="3:11" ht="18.75" x14ac:dyDescent="0.3">
      <c r="C50" s="104"/>
      <c r="D50" s="104"/>
      <c r="E50" s="104" t="s">
        <v>103</v>
      </c>
      <c r="F50" s="104" t="s">
        <v>16</v>
      </c>
      <c r="G50" s="104"/>
      <c r="H50" s="104" t="s">
        <v>137</v>
      </c>
      <c r="I50" s="104" t="s">
        <v>138</v>
      </c>
      <c r="J50" s="104" t="s">
        <v>21</v>
      </c>
      <c r="K50" s="103"/>
    </row>
    <row r="51" spans="3:11" ht="18.75" x14ac:dyDescent="0.3">
      <c r="C51" s="87">
        <v>602515</v>
      </c>
      <c r="D51" s="87" t="s">
        <v>20</v>
      </c>
      <c r="E51" s="87" t="s">
        <v>128</v>
      </c>
      <c r="F51" s="87" t="s">
        <v>123</v>
      </c>
      <c r="G51" s="87" t="s">
        <v>125</v>
      </c>
      <c r="H51" s="92">
        <v>14630.42</v>
      </c>
      <c r="I51" s="92">
        <v>304.17</v>
      </c>
      <c r="J51" s="92">
        <f>SUM(H51:I51)</f>
        <v>14934.59</v>
      </c>
      <c r="K51" s="3">
        <v>2</v>
      </c>
    </row>
    <row r="52" spans="3:11" ht="18.75" x14ac:dyDescent="0.3">
      <c r="C52" s="87"/>
      <c r="D52" s="87"/>
      <c r="E52" s="87"/>
      <c r="F52" s="87"/>
      <c r="G52" s="87"/>
      <c r="H52" s="92"/>
      <c r="I52" s="92"/>
      <c r="J52" s="92"/>
      <c r="K52" s="3"/>
    </row>
    <row r="53" spans="3:11" ht="18.75" x14ac:dyDescent="0.3">
      <c r="C53" s="87">
        <v>602957</v>
      </c>
      <c r="D53" s="87" t="s">
        <v>25</v>
      </c>
      <c r="E53" s="87" t="s">
        <v>129</v>
      </c>
      <c r="F53" s="87" t="s">
        <v>130</v>
      </c>
      <c r="G53" s="87" t="s">
        <v>125</v>
      </c>
      <c r="H53" s="92">
        <v>14630.42</v>
      </c>
      <c r="I53" s="92">
        <v>304.17</v>
      </c>
      <c r="J53" s="92">
        <f>SUM(H53:I53)</f>
        <v>14934.59</v>
      </c>
      <c r="K53" s="3">
        <v>1</v>
      </c>
    </row>
    <row r="54" spans="3:11" ht="18.75" x14ac:dyDescent="0.3">
      <c r="C54" s="87"/>
      <c r="D54" s="87"/>
      <c r="E54" s="87"/>
      <c r="F54" s="87"/>
      <c r="G54" s="87"/>
      <c r="H54" s="92"/>
      <c r="I54" s="92"/>
      <c r="J54" s="92"/>
      <c r="K54" s="3"/>
    </row>
    <row r="55" spans="3:11" x14ac:dyDescent="0.25">
      <c r="C55" s="3"/>
      <c r="D55" s="3"/>
      <c r="E55" s="3"/>
      <c r="F55" s="3"/>
      <c r="G55" s="3"/>
      <c r="H55" s="3"/>
      <c r="I55" s="3"/>
      <c r="J55" s="3"/>
      <c r="K55" s="3"/>
    </row>
  </sheetData>
  <pageMargins left="0.2" right="0.2" top="1" bottom="0.75" header="0.3" footer="0.3"/>
  <pageSetup scale="70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23"/>
  <sheetViews>
    <sheetView workbookViewId="0">
      <selection activeCell="A8" sqref="A8:XFD8"/>
    </sheetView>
  </sheetViews>
  <sheetFormatPr defaultRowHeight="15" x14ac:dyDescent="0.25"/>
  <cols>
    <col min="2" max="2" width="18.28515625" customWidth="1"/>
    <col min="3" max="3" width="31.42578125" customWidth="1"/>
    <col min="4" max="4" width="34.85546875" customWidth="1"/>
    <col min="5" max="5" width="46.28515625" customWidth="1"/>
  </cols>
  <sheetData>
    <row r="3" spans="2:5" ht="26.25" x14ac:dyDescent="0.4">
      <c r="B3" s="116"/>
      <c r="C3" s="116" t="s">
        <v>150</v>
      </c>
      <c r="D3" s="116"/>
      <c r="E3" s="116"/>
    </row>
    <row r="4" spans="2:5" ht="26.25" x14ac:dyDescent="0.4">
      <c r="B4" s="116"/>
      <c r="C4" s="116" t="s">
        <v>17</v>
      </c>
      <c r="D4" s="116"/>
      <c r="E4" s="116"/>
    </row>
    <row r="5" spans="2:5" ht="26.25" x14ac:dyDescent="0.4">
      <c r="B5" s="116"/>
      <c r="C5" s="116" t="s">
        <v>2</v>
      </c>
      <c r="D5" s="121" t="s">
        <v>152</v>
      </c>
      <c r="E5" s="121" t="s">
        <v>151</v>
      </c>
    </row>
    <row r="6" spans="2:5" ht="21" x14ac:dyDescent="0.35">
      <c r="B6" s="85">
        <v>601004</v>
      </c>
      <c r="C6" s="85" t="s">
        <v>1</v>
      </c>
      <c r="D6" s="108">
        <v>0</v>
      </c>
      <c r="E6" s="108">
        <v>0</v>
      </c>
    </row>
    <row r="7" spans="2:5" ht="21" x14ac:dyDescent="0.35">
      <c r="B7" s="85"/>
      <c r="C7" s="85"/>
      <c r="D7" s="108"/>
      <c r="E7" s="108"/>
    </row>
    <row r="8" spans="2:5" ht="21" x14ac:dyDescent="0.35">
      <c r="B8" s="85" t="s">
        <v>28</v>
      </c>
      <c r="C8" s="85" t="s">
        <v>8</v>
      </c>
      <c r="D8" s="108">
        <v>1410</v>
      </c>
      <c r="E8" s="108">
        <v>1410</v>
      </c>
    </row>
    <row r="9" spans="2:5" ht="21" x14ac:dyDescent="0.35">
      <c r="B9" s="85"/>
      <c r="C9" s="85"/>
      <c r="D9" s="108"/>
      <c r="E9" s="108"/>
    </row>
    <row r="10" spans="2:5" ht="21" x14ac:dyDescent="0.35">
      <c r="B10" s="85">
        <v>601012</v>
      </c>
      <c r="C10" s="85" t="s">
        <v>12</v>
      </c>
      <c r="D10" s="108">
        <v>0</v>
      </c>
      <c r="E10" s="108">
        <v>0</v>
      </c>
    </row>
    <row r="11" spans="2:5" ht="21" x14ac:dyDescent="0.35">
      <c r="B11" s="85"/>
      <c r="C11" s="85"/>
      <c r="D11" s="108"/>
      <c r="E11" s="108"/>
    </row>
    <row r="12" spans="2:5" ht="21" x14ac:dyDescent="0.35">
      <c r="B12" s="85" t="s">
        <v>27</v>
      </c>
      <c r="C12" s="85" t="s">
        <v>11</v>
      </c>
      <c r="D12" s="108">
        <v>0</v>
      </c>
      <c r="E12" s="108">
        <v>0</v>
      </c>
    </row>
    <row r="13" spans="2:5" ht="21" x14ac:dyDescent="0.35">
      <c r="B13" s="85"/>
      <c r="C13" s="85"/>
      <c r="D13" s="108"/>
      <c r="E13" s="108"/>
    </row>
    <row r="14" spans="2:5" ht="21" x14ac:dyDescent="0.35">
      <c r="B14" s="85" t="s">
        <v>26</v>
      </c>
      <c r="C14" s="85" t="s">
        <v>18</v>
      </c>
      <c r="D14" s="108">
        <v>0</v>
      </c>
      <c r="E14" s="108">
        <v>0</v>
      </c>
    </row>
    <row r="15" spans="2:5" ht="15.75" x14ac:dyDescent="0.25">
      <c r="B15" s="78"/>
      <c r="C15" s="78"/>
      <c r="D15" s="115"/>
      <c r="E15" s="115"/>
    </row>
    <row r="16" spans="2:5" ht="31.5" x14ac:dyDescent="0.5">
      <c r="B16" s="117"/>
      <c r="C16" s="117"/>
      <c r="D16" s="118"/>
      <c r="E16" s="118"/>
    </row>
    <row r="17" spans="2:5" ht="31.5" x14ac:dyDescent="0.5">
      <c r="B17" s="117"/>
      <c r="C17" s="117" t="s">
        <v>16</v>
      </c>
      <c r="D17" s="119" t="s">
        <v>152</v>
      </c>
      <c r="E17" s="120" t="s">
        <v>151</v>
      </c>
    </row>
    <row r="18" spans="2:5" ht="31.5" x14ac:dyDescent="0.5">
      <c r="B18" s="117"/>
      <c r="C18" s="117"/>
      <c r="D18" s="118"/>
      <c r="E18" s="118"/>
    </row>
    <row r="19" spans="2:5" ht="21" x14ac:dyDescent="0.35">
      <c r="B19" s="85">
        <v>602515</v>
      </c>
      <c r="C19" s="85" t="s">
        <v>20</v>
      </c>
      <c r="D19" s="108">
        <v>1230</v>
      </c>
      <c r="E19" s="108">
        <v>1230</v>
      </c>
    </row>
    <row r="20" spans="2:5" ht="21" x14ac:dyDescent="0.35">
      <c r="B20" s="85"/>
      <c r="C20" s="85"/>
      <c r="D20" s="108"/>
      <c r="E20" s="108"/>
    </row>
    <row r="21" spans="2:5" ht="21" x14ac:dyDescent="0.35">
      <c r="B21" s="85">
        <v>602957</v>
      </c>
      <c r="C21" s="85" t="s">
        <v>25</v>
      </c>
      <c r="D21" s="113" t="s">
        <v>2</v>
      </c>
      <c r="E21" s="114" t="s">
        <v>2</v>
      </c>
    </row>
    <row r="22" spans="2:5" ht="21" x14ac:dyDescent="0.35">
      <c r="B22" s="109"/>
      <c r="C22" s="109"/>
      <c r="D22" s="109"/>
      <c r="E22" s="109"/>
    </row>
    <row r="23" spans="2:5" ht="21" x14ac:dyDescent="0.35">
      <c r="B23" s="109"/>
      <c r="C23" s="109"/>
      <c r="D23" s="109"/>
      <c r="E23" s="109"/>
    </row>
  </sheetData>
  <pageMargins left="0.2" right="0.2" top="0.75" bottom="0.75" header="0.3" footer="0.3"/>
  <pageSetup scale="8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11</vt:i4>
      </vt:variant>
    </vt:vector>
  </HeadingPairs>
  <TitlesOfParts>
    <vt:vector size="21" baseType="lpstr">
      <vt:lpstr>SSS LOAN</vt:lpstr>
      <vt:lpstr>MPL LOAN</vt:lpstr>
      <vt:lpstr>CASH ADVANCE</vt:lpstr>
      <vt:lpstr>14TH MONTH</vt:lpstr>
      <vt:lpstr>SLVLSIL</vt:lpstr>
      <vt:lpstr>TIME ENTRY</vt:lpstr>
      <vt:lpstr>OVERTIME</vt:lpstr>
      <vt:lpstr>salary and allowances</vt:lpstr>
      <vt:lpstr>PROVIDENT DEDUCTIONS</vt:lpstr>
      <vt:lpstr>Sheet3</vt:lpstr>
      <vt:lpstr>'14TH MONTH'!Print_Area</vt:lpstr>
      <vt:lpstr>'CASH ADVANCE'!Print_Area</vt:lpstr>
      <vt:lpstr>'MPL LOAN'!Print_Area</vt:lpstr>
      <vt:lpstr>OVERTIME!Print_Area</vt:lpstr>
      <vt:lpstr>'PROVIDENT DEDUCTIONS'!Print_Area</vt:lpstr>
      <vt:lpstr>'salary and allowances'!Print_Area</vt:lpstr>
      <vt:lpstr>SLVLSIL!Print_Area</vt:lpstr>
      <vt:lpstr>'SSS LOAN'!Print_Area</vt:lpstr>
      <vt:lpstr>'TIME ENTRY'!Print_Area</vt:lpstr>
      <vt:lpstr>'CASH ADVANCE'!Print_Titles</vt:lpstr>
      <vt:lpstr>'MPL LOAN'!Print_Titles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GIGABYTE</dc:creator>
  <cp:lastModifiedBy>GLOBAL-D</cp:lastModifiedBy>
  <cp:lastPrinted>2017-05-23T01:56:03Z</cp:lastPrinted>
  <dcterms:created xsi:type="dcterms:W3CDTF">2017-05-21T23:23:50Z</dcterms:created>
  <dcterms:modified xsi:type="dcterms:W3CDTF">2017-07-18T10:51:28Z</dcterms:modified>
</cp:coreProperties>
</file>